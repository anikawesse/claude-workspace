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Launch-Auswertung" state="visible" r:id="rId4"/>
    <sheet sheetId="2" name="Sales-Mails" state="visible" r:id="rId5"/>
  </sheets>
  <calcPr calcId="171027"/>
</workbook>
</file>

<file path=xl/sharedStrings.xml><?xml version="1.0" encoding="utf-8"?>
<sst xmlns="http://schemas.openxmlformats.org/spreadsheetml/2006/main" count="101" uniqueCount="94">
  <si>
    <t>Launch-Auswertung Gelände-Webinar</t>
  </si>
  <si>
    <t>Monatlich fortführen. Beige Zeilen berechnen sich automatisch. Neue Spalte = neuer Launch.</t>
  </si>
  <si>
    <t>Kennzahl</t>
  </si>
  <si>
    <t>Aug 2026</t>
  </si>
  <si>
    <t/>
  </si>
  <si>
    <t>ECKDATEN</t>
  </si>
  <si>
    <t>Webinar-Wochentag</t>
  </si>
  <si>
    <t>Sonntag</t>
  </si>
  <si>
    <t>Webinar-Datum</t>
  </si>
  <si>
    <t>23.08.2026</t>
  </si>
  <si>
    <t>Webinar-Uhrzeit</t>
  </si>
  <si>
    <t>19:00 Uhr</t>
  </si>
  <si>
    <t>TRAFFIC &amp; ANMELDUNGEN</t>
  </si>
  <si>
    <t>Anmeldungen organisch</t>
  </si>
  <si>
    <t>Anmeldungen Ads</t>
  </si>
  <si>
    <t>Überschneidung org/Ads</t>
  </si>
  <si>
    <t>Anmeldungen gesamt (eindeutig)</t>
  </si>
  <si>
    <t>Ad-Spend Webinar (€)</t>
  </si>
  <si>
    <t>Cost per Lead (€)</t>
  </si>
  <si>
    <t>OPT-IN &amp; SALESPAGE</t>
  </si>
  <si>
    <t>Opt-in Aufrufe organisch</t>
  </si>
  <si>
    <t>Opt-in Conversion organisch</t>
  </si>
  <si>
    <t>Opt-in Aufrufe Ads</t>
  </si>
  <si>
    <t>Opt-in Conversion Ads</t>
  </si>
  <si>
    <t>Opt-in Aufrufe gesamt</t>
  </si>
  <si>
    <t>Opt-in Conversion gesamt</t>
  </si>
  <si>
    <t>Salespage Aufrufe (manuell)</t>
  </si>
  <si>
    <t>Salespage Conversion (Programm)</t>
  </si>
  <si>
    <t>WEBINAR</t>
  </si>
  <si>
    <t>Live-Teilnehmer (eindeutig)</t>
  </si>
  <si>
    <t>Show-up-Rate</t>
  </si>
  <si>
    <t>Ø Verweildauer (Min)</t>
  </si>
  <si>
    <t>Anwesend beim Pitch-Start</t>
  </si>
  <si>
    <t>Pitch-Anwesenheit (% der Live)</t>
  </si>
  <si>
    <t>Anwesend am Ende</t>
  </si>
  <si>
    <t>VERKAUF — PROGRAMM (549 €)</t>
  </si>
  <si>
    <t>Programm-Käufe (Stück)</t>
  </si>
  <si>
    <t xml:space="preserve">  davon Einmalzahlung</t>
  </si>
  <si>
    <t xml:space="preserve">  davon Teilzahlung</t>
  </si>
  <si>
    <t>Gesprächstermine gebucht</t>
  </si>
  <si>
    <t xml:space="preserve">  davon gekauft</t>
  </si>
  <si>
    <t>Storno / Rückgabe (14 Tage)</t>
  </si>
  <si>
    <t>Netto-Käufe Programm (Stück)</t>
  </si>
  <si>
    <t>Programm Nettoumsatz (€)</t>
  </si>
  <si>
    <t>VERKAUF — VIP-PAKET (9 €)</t>
  </si>
  <si>
    <t>VIP Ads — Stück</t>
  </si>
  <si>
    <t>VIP Ads — Nettoumsatz (€)</t>
  </si>
  <si>
    <t>VIP organisch — Stück</t>
  </si>
  <si>
    <t>VIP organisch — Nettoumsatz (€)</t>
  </si>
  <si>
    <t>VIP gesamt — Stück</t>
  </si>
  <si>
    <t>VIP gesamt — Nettoumsatz (€)</t>
  </si>
  <si>
    <t>UMSATZ &amp; WIRTSCHAFTLICHKEIT</t>
  </si>
  <si>
    <t>Gesamt-Nettoumsatz (Programm + VIP) (€)</t>
  </si>
  <si>
    <t>Ø Bestellwert Programm (€)</t>
  </si>
  <si>
    <t>Conversion Anmeldung→Kauf (Programm)</t>
  </si>
  <si>
    <t>Conversion Live→Kauf (Programm)</t>
  </si>
  <si>
    <t>Conversion Pitch→Kauf (Programm)</t>
  </si>
  <si>
    <t>ROAS (Gesamt-Netto / Ad-Spend)</t>
  </si>
  <si>
    <t>Gewinn grob (Gesamt-Netto - Ad-Spend)</t>
  </si>
  <si>
    <t>Cost per Sale Programm (€)</t>
  </si>
  <si>
    <t>Legende: Weiße Felder = du trägst ein. Beige Felder = rechnen sich automatisch.</t>
  </si>
  <si>
    <t>VIP-Split nach Devine-Tags (Ads 15 / organisch 21 = 36). Netto-Gesamt 269,94 € aus ThriveCart (35 bezahlte Charges), anteilig verteilt. Differenz von 1 = wohl Gutschein/Storno.</t>
  </si>
  <si>
    <t>Programm-549-€-Käufe am Cart-Close (Do 27.08.) eintragen: Stückzahl + Programm Nettoumsatz. Dann rechnen sich ROAS, Gewinn und Conversions automatisch.</t>
  </si>
  <si>
    <t>Ad-Spend + Lead-Kosten aus Meta/Tags. Opt-in-Aufrufe von Anika (org 318 / Ads 882). Salespage-Aufrufe noch nachtragen.</t>
  </si>
  <si>
    <t>Sales-Mail-Auswertung Gelände-Webinar (Aug 2026)</t>
  </si>
  <si>
    <t>Öffnungs-/Klickraten aus Devine nachtragen. „Käufe danach" = Verkäufe, die zeitlich auf diese Mail folgten.</t>
  </si>
  <si>
    <t>Mail</t>
  </si>
  <si>
    <t>Betreff</t>
  </si>
  <si>
    <t>Versand</t>
  </si>
  <si>
    <t>Empfänger</t>
  </si>
  <si>
    <t>Öffnungen</t>
  </si>
  <si>
    <t>Öffnungsrate</t>
  </si>
  <si>
    <t>Klicks</t>
  </si>
  <si>
    <t>Klickrate</t>
  </si>
  <si>
    <t>Käufe danach</t>
  </si>
  <si>
    <t>Mail 1 Schnellentschlossene</t>
  </si>
  <si>
    <t>🐴 Für die Schnellentschlossenen unter euch</t>
  </si>
  <si>
    <t>So 23.08.</t>
  </si>
  <si>
    <t>Mail 2 Testimonials</t>
  </si>
  <si>
    <t>❤️ Das erleben meine Schülerinnen im Gelände</t>
  </si>
  <si>
    <t>Mo 24.08.</t>
  </si>
  <si>
    <t>Mail 3 Frühbucher-Deadline</t>
  </si>
  <si>
    <t>⏳ Um Mitternacht ist der Schmerzguide weg</t>
  </si>
  <si>
    <t>Mail 4 Programm-Details</t>
  </si>
  <si>
    <t>🐴 Alles, was im Gelände-Programm auf dich wartet</t>
  </si>
  <si>
    <t>Di 25.08.</t>
  </si>
  <si>
    <t>Mail 5 FAQ + Garantie</t>
  </si>
  <si>
    <t>Dein Name fehlt noch auf meiner Liste</t>
  </si>
  <si>
    <t>Mi 26.08.</t>
  </si>
  <si>
    <t>Mail 6 Zweifel + Testimonials</t>
  </si>
  <si>
    <t>Schaffe ich das wirklich alleine?</t>
  </si>
  <si>
    <t>Do 27.08.</t>
  </si>
  <si>
    <t>Mail 7 Last Call</t>
  </si>
  <si>
    <t>⏳ Gleich ist die Tür zu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</si>
</sst>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.00 €"/>
    <numFmt numFmtId="165" formatCode="0.0%"/>
  </numFmts>
  <fonts count="11" x14ac:knownFonts="1">
    <font>
      <color theme="1"/>
      <family val="2"/>
      <scheme val="minor"/>
      <sz val="11"/>
      <name val="Calibri"/>
    </font>
    <font>
      <b/>
      <color rgb="FFFFFFFF"/>
      <sz val="16"/>
    </font>
    <font>
      <i/>
      <color rgb="FF7A6050"/>
      <sz val="9.5"/>
    </font>
    <font>
      <b/>
      <color rgb="FFFFFFFF"/>
    </font>
    <font>
      <b/>
      <color rgb="FF7B3F28"/>
      <sz val="11"/>
    </font>
    <font>
      <color rgb="FF2C2C2C"/>
    </font>
    <font>
      <i/>
    </font>
    <font>
      <i/>
      <color rgb="FF7A6050"/>
      <sz val="9"/>
    </font>
    <font>
      <b/>
      <color rgb="FFFFFFFF"/>
      <sz val="14"/>
    </font>
    <font>
      <b/>
      <color rgb="FF2C2C2C"/>
    </font>
    <font>
      <i/>
      <color rgb="FF7A6050"/>
    </font>
  </fonts>
  <fills count="6">
    <fill>
      <patternFill patternType="none"/>
    </fill>
    <fill>
      <patternFill patternType="gray125"/>
    </fill>
    <fill>
      <patternFill patternType="solid">
        <fgColor rgb="FF7B3F28"/>
      </patternFill>
    </fill>
    <fill>
      <patternFill patternType="solid">
        <fgColor rgb="FFC58B5C"/>
      </patternFill>
    </fill>
    <fill>
      <patternFill patternType="solid">
        <fgColor rgb="FFE4EADD"/>
      </patternFill>
    </fill>
    <fill>
      <patternFill patternType="solid">
        <fgColor rgb="FFF1E4D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/>
    <xf numFmtId="0" fontId="3" fillId="3" borderId="0" xfId="0" applyFont="1" applyFill="1" applyAlignment="1">
      <alignment horizontal="left"/>
    </xf>
    <xf numFmtId="0" fontId="3" fillId="3" borderId="0" xfId="0" applyFont="1" applyFill="1" applyAlignment="1">
      <alignment horizontal="center"/>
    </xf>
    <xf numFmtId="0" fontId="4" fillId="4" borderId="0" xfId="0" applyFont="1" applyFill="1" applyAlignment="1">
      <alignment vertical="center" indent="1"/>
    </xf>
    <xf numFmtId="0" fontId="5" fillId="0" borderId="0" xfId="0" applyFont="1"/>
    <xf numFmtId="0" fontId="0" fillId="0" borderId="0" xfId="0" applyAlignment="1">
      <alignment horizontal="center"/>
    </xf>
    <xf numFmtId="3" fontId="0" fillId="0" borderId="0" xfId="0" applyNumberFormat="1" applyAlignment="1">
      <alignment horizontal="center"/>
    </xf>
    <xf numFmtId="3" fontId="6" fillId="5" borderId="0" xfId="0" applyNumberFormat="1" applyFont="1" applyFill="1" applyAlignment="1">
      <alignment horizontal="center"/>
    </xf>
    <xf numFmtId="164" fontId="0" fillId="0" borderId="0" xfId="0" applyNumberFormat="1" applyAlignment="1">
      <alignment horizontal="center"/>
    </xf>
    <xf numFmtId="164" fontId="6" fillId="5" borderId="0" xfId="0" applyNumberFormat="1" applyFont="1" applyFill="1" applyAlignment="1">
      <alignment horizontal="center"/>
    </xf>
    <xf numFmtId="165" fontId="6" fillId="5" borderId="0" xfId="0" applyNumberFormat="1" applyFont="1" applyFill="1" applyAlignment="1">
      <alignment horizontal="center"/>
    </xf>
    <xf numFmtId="2" fontId="6" fillId="5" borderId="0" xfId="0" applyNumberFormat="1" applyFont="1" applyFill="1" applyAlignment="1">
      <alignment horizontal="center"/>
    </xf>
    <xf numFmtId="0" fontId="7" fillId="0" borderId="0" xfId="0" applyFont="1"/>
    <xf numFmtId="0" fontId="8" fillId="2" borderId="0" xfId="0" applyFont="1" applyFill="1" applyAlignment="1">
      <alignment vertical="center" indent="1"/>
    </xf>
    <xf numFmtId="0" fontId="3" fillId="3" borderId="0" xfId="0" applyFont="1" applyFill="1" applyAlignment="1">
      <alignment horizontal="center" wrapText="1"/>
    </xf>
    <xf numFmtId="0" fontId="9" fillId="0" borderId="0" xfId="0" applyFont="1"/>
    <xf numFmtId="0" fontId="10" fillId="0" borderId="0" xfId="0" applyFont="1"/>
    <xf numFmtId="165" fontId="0" fillId="5" borderId="0" xfId="0" applyNumberFormat="1" applyFill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60"/>
  <sheetViews>
    <sheetView workbookViewId="0">
      <pane xSplit="1" ySplit="3" topLeftCell="B4" activePane="bottomRight" state="frozen"/>
      <selection pane="bottomRight"/>
    </sheetView>
  </sheetViews>
  <sheetFormatPr defaultRowHeight="15" outlineLevelRow="0" outlineLevelCol="0" x14ac:dyDescent="55"/>
  <cols>
    <col min="1" max="1" width="38" customWidth="1"/>
    <col min="2" max="8" width="13.5" customWidth="1"/>
  </cols>
  <sheetData>
    <row r="1" ht="26" customHeight="1" spans="1:8" x14ac:dyDescent="0.25">
      <c r="A1" s="1" t="s">
        <v>0</v>
      </c>
      <c r="B1" s="1"/>
      <c r="C1" s="1"/>
      <c r="D1" s="1"/>
      <c r="E1" s="1"/>
      <c r="F1" s="1"/>
      <c r="G1" s="1"/>
      <c r="H1" s="1"/>
    </row>
    <row r="2" ht="15" customHeight="1" spans="1:8" x14ac:dyDescent="0.25">
      <c r="A2" s="2" t="s">
        <v>1</v>
      </c>
      <c r="B2" s="2"/>
      <c r="C2" s="2"/>
      <c r="D2" s="2"/>
      <c r="E2" s="2"/>
      <c r="F2" s="2"/>
      <c r="G2" s="2"/>
      <c r="H2" s="2"/>
    </row>
    <row r="3" spans="1:8" x14ac:dyDescent="0.25">
      <c r="A3" s="3" t="s">
        <v>2</v>
      </c>
      <c r="B3" s="4" t="s">
        <v>3</v>
      </c>
      <c r="C3" s="4" t="s">
        <v>4</v>
      </c>
      <c r="D3" s="4" t="s">
        <v>4</v>
      </c>
      <c r="E3" s="4" t="s">
        <v>4</v>
      </c>
      <c r="F3" s="4" t="s">
        <v>4</v>
      </c>
      <c r="G3" s="4" t="s">
        <v>4</v>
      </c>
      <c r="H3" s="4" t="s">
        <v>4</v>
      </c>
    </row>
    <row r="4" ht="18" customHeight="1" spans="1:8" x14ac:dyDescent="0.25">
      <c r="A4" s="5" t="s">
        <v>5</v>
      </c>
      <c r="B4" s="5"/>
      <c r="C4" s="5"/>
      <c r="D4" s="5"/>
      <c r="E4" s="5"/>
      <c r="F4" s="5"/>
      <c r="G4" s="5"/>
      <c r="H4" s="5"/>
    </row>
    <row r="5" spans="1:8" x14ac:dyDescent="0.25">
      <c r="A5" s="6" t="s">
        <v>6</v>
      </c>
      <c r="B5" s="7" t="s">
        <v>7</v>
      </c>
      <c r="C5" s="7"/>
      <c r="D5" s="7"/>
      <c r="E5" s="7"/>
      <c r="F5" s="7"/>
      <c r="G5" s="7"/>
      <c r="H5" s="7"/>
    </row>
    <row r="6" spans="1:8" x14ac:dyDescent="0.25">
      <c r="A6" s="6" t="s">
        <v>8</v>
      </c>
      <c r="B6" s="7" t="s">
        <v>9</v>
      </c>
      <c r="C6" s="7"/>
      <c r="D6" s="7"/>
      <c r="E6" s="7"/>
      <c r="F6" s="7"/>
      <c r="G6" s="7"/>
      <c r="H6" s="7"/>
    </row>
    <row r="7" spans="1:8" x14ac:dyDescent="0.25">
      <c r="A7" s="6" t="s">
        <v>10</v>
      </c>
      <c r="B7" s="7" t="s">
        <v>11</v>
      </c>
      <c r="C7" s="7"/>
      <c r="D7" s="7"/>
      <c r="E7" s="7"/>
      <c r="F7" s="7"/>
      <c r="G7" s="7"/>
      <c r="H7" s="7"/>
    </row>
    <row r="8" ht="18" customHeight="1" spans="1:8" x14ac:dyDescent="0.25">
      <c r="A8" s="5" t="s">
        <v>12</v>
      </c>
      <c r="B8" s="5"/>
      <c r="C8" s="5"/>
      <c r="D8" s="5"/>
      <c r="E8" s="5"/>
      <c r="F8" s="5"/>
      <c r="G8" s="5"/>
      <c r="H8" s="5"/>
    </row>
    <row r="9" spans="1:8" x14ac:dyDescent="0.25">
      <c r="A9" s="6" t="s">
        <v>13</v>
      </c>
      <c r="B9" s="8">
        <v>165</v>
      </c>
      <c r="C9" s="8"/>
      <c r="D9" s="8"/>
      <c r="E9" s="8"/>
      <c r="F9" s="8"/>
      <c r="G9" s="8"/>
      <c r="H9" s="8"/>
    </row>
    <row r="10" spans="1:8" x14ac:dyDescent="0.25">
      <c r="A10" s="6" t="s">
        <v>14</v>
      </c>
      <c r="B10" s="8">
        <v>192</v>
      </c>
      <c r="C10" s="8"/>
      <c r="D10" s="8"/>
      <c r="E10" s="8"/>
      <c r="F10" s="8"/>
      <c r="G10" s="8"/>
      <c r="H10" s="8"/>
    </row>
    <row r="11" spans="1:8" x14ac:dyDescent="0.25">
      <c r="A11" s="6" t="s">
        <v>15</v>
      </c>
      <c r="B11" s="8">
        <v>9</v>
      </c>
      <c r="C11" s="8"/>
      <c r="D11" s="8"/>
      <c r="E11" s="8"/>
      <c r="F11" s="8"/>
      <c r="G11" s="8"/>
      <c r="H11" s="8"/>
    </row>
    <row r="12" spans="1:8" x14ac:dyDescent="0.25">
      <c r="A12" s="6" t="s">
        <v>16</v>
      </c>
      <c r="B12" s="9">
        <f>B9+B10-B11</f>
      </c>
      <c r="C12" s="9">
        <f>C9+C10-C11</f>
      </c>
      <c r="D12" s="9">
        <f>D9+D10-D11</f>
      </c>
      <c r="E12" s="9">
        <f>E9+E10-E11</f>
      </c>
      <c r="F12" s="9">
        <f>F9+F10-F11</f>
      </c>
      <c r="G12" s="9">
        <f>G9+G10-G11</f>
      </c>
      <c r="H12" s="9">
        <f>H9+H10-H11</f>
      </c>
    </row>
    <row r="13" spans="1:8" x14ac:dyDescent="0.25">
      <c r="A13" s="6" t="s">
        <v>17</v>
      </c>
      <c r="B13" s="10">
        <v>1124.64</v>
      </c>
      <c r="C13" s="10"/>
      <c r="D13" s="10"/>
      <c r="E13" s="10"/>
      <c r="F13" s="10"/>
      <c r="G13" s="10"/>
      <c r="H13" s="10"/>
    </row>
    <row r="14" spans="1:8" x14ac:dyDescent="0.25">
      <c r="A14" s="6" t="s">
        <v>18</v>
      </c>
      <c r="B14" s="11">
        <f>IF(B10=0,"",B13/B10)</f>
      </c>
      <c r="C14" s="11">
        <f>IF(C10=0,"",C13/C10)</f>
      </c>
      <c r="D14" s="11">
        <f>IF(D10=0,"",D13/D10)</f>
      </c>
      <c r="E14" s="11">
        <f>IF(E10=0,"",E13/E10)</f>
      </c>
      <c r="F14" s="11">
        <f>IF(F10=0,"",F13/F10)</f>
      </c>
      <c r="G14" s="11">
        <f>IF(G10=0,"",G13/G10)</f>
      </c>
      <c r="H14" s="11">
        <f>IF(H10=0,"",H13/H10)</f>
      </c>
    </row>
    <row r="15" ht="18" customHeight="1" spans="1:8" x14ac:dyDescent="0.25">
      <c r="A15" s="5" t="s">
        <v>19</v>
      </c>
      <c r="B15" s="5"/>
      <c r="C15" s="5"/>
      <c r="D15" s="5"/>
      <c r="E15" s="5"/>
      <c r="F15" s="5"/>
      <c r="G15" s="5"/>
      <c r="H15" s="5"/>
    </row>
    <row r="16" spans="1:8" x14ac:dyDescent="0.25">
      <c r="A16" s="6" t="s">
        <v>20</v>
      </c>
      <c r="B16" s="8">
        <v>318</v>
      </c>
      <c r="C16" s="8"/>
      <c r="D16" s="8"/>
      <c r="E16" s="8"/>
      <c r="F16" s="8"/>
      <c r="G16" s="8"/>
      <c r="H16" s="8"/>
    </row>
    <row r="17" spans="1:8" x14ac:dyDescent="0.25">
      <c r="A17" s="6" t="s">
        <v>21</v>
      </c>
      <c r="B17" s="12">
        <f>IF(OR(B16="",B16=0),"",B9/B16)</f>
      </c>
      <c r="C17" s="12">
        <f>IF(OR(C16="",C16=0),"",C9/C16)</f>
      </c>
      <c r="D17" s="12">
        <f>IF(OR(D16="",D16=0),"",D9/D16)</f>
      </c>
      <c r="E17" s="12">
        <f>IF(OR(E16="",E16=0),"",E9/E16)</f>
      </c>
      <c r="F17" s="12">
        <f>IF(OR(F16="",F16=0),"",F9/F16)</f>
      </c>
      <c r="G17" s="12">
        <f>IF(OR(G16="",G16=0),"",G9/G16)</f>
      </c>
      <c r="H17" s="12">
        <f>IF(OR(H16="",H16=0),"",H9/H16)</f>
      </c>
    </row>
    <row r="18" spans="1:8" x14ac:dyDescent="0.25">
      <c r="A18" s="6" t="s">
        <v>22</v>
      </c>
      <c r="B18" s="8">
        <v>882</v>
      </c>
      <c r="C18" s="8"/>
      <c r="D18" s="8"/>
      <c r="E18" s="8"/>
      <c r="F18" s="8"/>
      <c r="G18" s="8"/>
      <c r="H18" s="8"/>
    </row>
    <row r="19" spans="1:8" x14ac:dyDescent="0.25">
      <c r="A19" s="6" t="s">
        <v>23</v>
      </c>
      <c r="B19" s="12">
        <f>IF(OR(B18="",B18=0),"",B10/B18)</f>
      </c>
      <c r="C19" s="12">
        <f>IF(OR(C18="",C18=0),"",C10/C18)</f>
      </c>
      <c r="D19" s="12">
        <f>IF(OR(D18="",D18=0),"",D10/D18)</f>
      </c>
      <c r="E19" s="12">
        <f>IF(OR(E18="",E18=0),"",E10/E18)</f>
      </c>
      <c r="F19" s="12">
        <f>IF(OR(F18="",F18=0),"",F10/F18)</f>
      </c>
      <c r="G19" s="12">
        <f>IF(OR(G18="",G18=0),"",G10/G18)</f>
      </c>
      <c r="H19" s="12">
        <f>IF(OR(H18="",H18=0),"",H10/H18)</f>
      </c>
    </row>
    <row r="20" spans="1:8" x14ac:dyDescent="0.25">
      <c r="A20" s="6" t="s">
        <v>24</v>
      </c>
      <c r="B20" s="9">
        <f>B16+B18</f>
      </c>
      <c r="C20" s="9">
        <f>C16+C18</f>
      </c>
      <c r="D20" s="9">
        <f>D16+D18</f>
      </c>
      <c r="E20" s="9">
        <f>E16+E18</f>
      </c>
      <c r="F20" s="9">
        <f>F16+F18</f>
      </c>
      <c r="G20" s="9">
        <f>G16+G18</f>
      </c>
      <c r="H20" s="9">
        <f>H16+H18</f>
      </c>
    </row>
    <row r="21" spans="1:8" x14ac:dyDescent="0.25">
      <c r="A21" s="6" t="s">
        <v>25</v>
      </c>
      <c r="B21" s="12">
        <f>IF(OR(B20="",B20=0),"",B12/B20)</f>
      </c>
      <c r="C21" s="12">
        <f>IF(OR(C20="",C20=0),"",C12/C20)</f>
      </c>
      <c r="D21" s="12">
        <f>IF(OR(D20="",D20=0),"",D12/D20)</f>
      </c>
      <c r="E21" s="12">
        <f>IF(OR(E20="",E20=0),"",E12/E20)</f>
      </c>
      <c r="F21" s="12">
        <f>IF(OR(F20="",F20=0),"",F12/F20)</f>
      </c>
      <c r="G21" s="12">
        <f>IF(OR(G20="",G20=0),"",G12/G20)</f>
      </c>
      <c r="H21" s="12">
        <f>IF(OR(H20="",H20=0),"",H12/H20)</f>
      </c>
    </row>
    <row r="22" spans="1:8" x14ac:dyDescent="0.25">
      <c r="A22" s="6" t="s">
        <v>26</v>
      </c>
      <c r="B22" s="8"/>
      <c r="C22" s="8"/>
      <c r="D22" s="8"/>
      <c r="E22" s="8"/>
      <c r="F22" s="8"/>
      <c r="G22" s="8"/>
      <c r="H22" s="8"/>
    </row>
    <row r="23" spans="1:8" x14ac:dyDescent="0.25">
      <c r="A23" s="6" t="s">
        <v>27</v>
      </c>
      <c r="B23" s="12">
        <f>IF(OR(B22="",B22=0),"",B32/B22)</f>
      </c>
      <c r="C23" s="12">
        <f>IF(OR(C22="",C22=0),"",C32/C22)</f>
      </c>
      <c r="D23" s="12">
        <f>IF(OR(D22="",D22=0),"",D32/D22)</f>
      </c>
      <c r="E23" s="12">
        <f>IF(OR(E22="",E22=0),"",E32/E22)</f>
      </c>
      <c r="F23" s="12">
        <f>IF(OR(F22="",F22=0),"",F32/F22)</f>
      </c>
      <c r="G23" s="12">
        <f>IF(OR(G22="",G22=0),"",G32/G22)</f>
      </c>
      <c r="H23" s="12">
        <f>IF(OR(H22="",H22=0),"",H32/H22)</f>
      </c>
    </row>
    <row r="24" ht="18" customHeight="1" spans="1:8" x14ac:dyDescent="0.25">
      <c r="A24" s="5" t="s">
        <v>28</v>
      </c>
      <c r="B24" s="5"/>
      <c r="C24" s="5"/>
      <c r="D24" s="5"/>
      <c r="E24" s="5"/>
      <c r="F24" s="5"/>
      <c r="G24" s="5"/>
      <c r="H24" s="5"/>
    </row>
    <row r="25" spans="1:8" x14ac:dyDescent="0.25">
      <c r="A25" s="6" t="s">
        <v>29</v>
      </c>
      <c r="B25" s="8">
        <v>141</v>
      </c>
      <c r="C25" s="8"/>
      <c r="D25" s="8"/>
      <c r="E25" s="8"/>
      <c r="F25" s="8"/>
      <c r="G25" s="8"/>
      <c r="H25" s="8"/>
    </row>
    <row r="26" spans="1:8" x14ac:dyDescent="0.25">
      <c r="A26" s="6" t="s">
        <v>30</v>
      </c>
      <c r="B26" s="12">
        <f>IF(B12=0,"",B25/B12)</f>
      </c>
      <c r="C26" s="12">
        <f>IF(C12=0,"",C25/C12)</f>
      </c>
      <c r="D26" s="12">
        <f>IF(D12=0,"",D25/D12)</f>
      </c>
      <c r="E26" s="12">
        <f>IF(E12=0,"",E25/E12)</f>
      </c>
      <c r="F26" s="12">
        <f>IF(F12=0,"",F25/F12)</f>
      </c>
      <c r="G26" s="12">
        <f>IF(G12=0,"",G25/G12)</f>
      </c>
      <c r="H26" s="12">
        <f>IF(H12=0,"",H25/H12)</f>
      </c>
    </row>
    <row r="27" spans="1:8" x14ac:dyDescent="0.25">
      <c r="A27" s="6" t="s">
        <v>31</v>
      </c>
      <c r="B27" s="8">
        <v>98</v>
      </c>
      <c r="C27" s="8"/>
      <c r="D27" s="8"/>
      <c r="E27" s="8"/>
      <c r="F27" s="8"/>
      <c r="G27" s="8"/>
      <c r="H27" s="8"/>
    </row>
    <row r="28" spans="1:8" x14ac:dyDescent="0.25">
      <c r="A28" s="6" t="s">
        <v>32</v>
      </c>
      <c r="B28" s="8">
        <v>110</v>
      </c>
      <c r="C28" s="8"/>
      <c r="D28" s="8"/>
      <c r="E28" s="8"/>
      <c r="F28" s="8"/>
      <c r="G28" s="8"/>
      <c r="H28" s="8"/>
    </row>
    <row r="29" spans="1:8" x14ac:dyDescent="0.25">
      <c r="A29" s="6" t="s">
        <v>33</v>
      </c>
      <c r="B29" s="12">
        <f>IF(B25=0,"",B28/B25)</f>
      </c>
      <c r="C29" s="12">
        <f>IF(C25=0,"",C28/C25)</f>
      </c>
      <c r="D29" s="12">
        <f>IF(D25=0,"",D28/D25)</f>
      </c>
      <c r="E29" s="12">
        <f>IF(E25=0,"",E28/E25)</f>
      </c>
      <c r="F29" s="12">
        <f>IF(F25=0,"",F28/F25)</f>
      </c>
      <c r="G29" s="12">
        <f>IF(G25=0,"",G28/G25)</f>
      </c>
      <c r="H29" s="12">
        <f>IF(H25=0,"",H28/H25)</f>
      </c>
    </row>
    <row r="30" spans="1:8" x14ac:dyDescent="0.25">
      <c r="A30" s="6" t="s">
        <v>34</v>
      </c>
      <c r="B30" s="8">
        <v>27</v>
      </c>
      <c r="C30" s="8"/>
      <c r="D30" s="8"/>
      <c r="E30" s="8"/>
      <c r="F30" s="8"/>
      <c r="G30" s="8"/>
      <c r="H30" s="8"/>
    </row>
    <row r="31" ht="18" customHeight="1" spans="1:8" x14ac:dyDescent="0.25">
      <c r="A31" s="5" t="s">
        <v>35</v>
      </c>
      <c r="B31" s="5"/>
      <c r="C31" s="5"/>
      <c r="D31" s="5"/>
      <c r="E31" s="5"/>
      <c r="F31" s="5"/>
      <c r="G31" s="5"/>
      <c r="H31" s="5"/>
    </row>
    <row r="32" spans="1:8" x14ac:dyDescent="0.25">
      <c r="A32" s="6" t="s">
        <v>36</v>
      </c>
      <c r="B32" s="8"/>
      <c r="C32" s="8"/>
      <c r="D32" s="8"/>
      <c r="E32" s="8"/>
      <c r="F32" s="8"/>
      <c r="G32" s="8"/>
      <c r="H32" s="8"/>
    </row>
    <row r="33" spans="1:8" x14ac:dyDescent="0.25">
      <c r="A33" s="6" t="s">
        <v>37</v>
      </c>
      <c r="B33" s="8"/>
      <c r="C33" s="8"/>
      <c r="D33" s="8"/>
      <c r="E33" s="8"/>
      <c r="F33" s="8"/>
      <c r="G33" s="8"/>
      <c r="H33" s="8"/>
    </row>
    <row r="34" spans="1:8" x14ac:dyDescent="0.25">
      <c r="A34" s="6" t="s">
        <v>38</v>
      </c>
      <c r="B34" s="8"/>
      <c r="C34" s="8"/>
      <c r="D34" s="8"/>
      <c r="E34" s="8"/>
      <c r="F34" s="8"/>
      <c r="G34" s="8"/>
      <c r="H34" s="8"/>
    </row>
    <row r="35" spans="1:8" x14ac:dyDescent="0.25">
      <c r="A35" s="6" t="s">
        <v>39</v>
      </c>
      <c r="B35" s="8"/>
      <c r="C35" s="8"/>
      <c r="D35" s="8"/>
      <c r="E35" s="8"/>
      <c r="F35" s="8"/>
      <c r="G35" s="8"/>
      <c r="H35" s="8"/>
    </row>
    <row r="36" spans="1:8" x14ac:dyDescent="0.25">
      <c r="A36" s="6" t="s">
        <v>40</v>
      </c>
      <c r="B36" s="8"/>
      <c r="C36" s="8"/>
      <c r="D36" s="8"/>
      <c r="E36" s="8"/>
      <c r="F36" s="8"/>
      <c r="G36" s="8"/>
      <c r="H36" s="8"/>
    </row>
    <row r="37" spans="1:8" x14ac:dyDescent="0.25">
      <c r="A37" s="6" t="s">
        <v>41</v>
      </c>
      <c r="B37" s="8"/>
      <c r="C37" s="8"/>
      <c r="D37" s="8"/>
      <c r="E37" s="8"/>
      <c r="F37" s="8"/>
      <c r="G37" s="8"/>
      <c r="H37" s="8"/>
    </row>
    <row r="38" spans="1:8" x14ac:dyDescent="0.25">
      <c r="A38" s="6" t="s">
        <v>42</v>
      </c>
      <c r="B38" s="9">
        <f>IF(B32="","",B32-IF(B37="",0,B37))</f>
      </c>
      <c r="C38" s="9">
        <f>IF(C32="","",C32-IF(C37="",0,C37))</f>
      </c>
      <c r="D38" s="9">
        <f>IF(D32="","",D32-IF(D37="",0,D37))</f>
      </c>
      <c r="E38" s="9">
        <f>IF(E32="","",E32-IF(E37="",0,E37))</f>
      </c>
      <c r="F38" s="9">
        <f>IF(F32="","",F32-IF(F37="",0,F37))</f>
      </c>
      <c r="G38" s="9">
        <f>IF(G32="","",G32-IF(G37="",0,G37))</f>
      </c>
      <c r="H38" s="9">
        <f>IF(H32="","",H32-IF(H37="",0,H37))</f>
      </c>
    </row>
    <row r="39" spans="1:8" x14ac:dyDescent="0.25">
      <c r="A39" s="6" t="s">
        <v>43</v>
      </c>
      <c r="B39" s="10"/>
      <c r="C39" s="10"/>
      <c r="D39" s="10"/>
      <c r="E39" s="10"/>
      <c r="F39" s="10"/>
      <c r="G39" s="10"/>
      <c r="H39" s="10"/>
    </row>
    <row r="40" ht="18" customHeight="1" spans="1:8" x14ac:dyDescent="0.25">
      <c r="A40" s="5" t="s">
        <v>44</v>
      </c>
      <c r="B40" s="5"/>
      <c r="C40" s="5"/>
      <c r="D40" s="5"/>
      <c r="E40" s="5"/>
      <c r="F40" s="5"/>
      <c r="G40" s="5"/>
      <c r="H40" s="5"/>
    </row>
    <row r="41" spans="1:8" x14ac:dyDescent="0.25">
      <c r="A41" s="6" t="s">
        <v>45</v>
      </c>
      <c r="B41" s="8">
        <v>15</v>
      </c>
      <c r="C41" s="8"/>
      <c r="D41" s="8"/>
      <c r="E41" s="8"/>
      <c r="F41" s="8"/>
      <c r="G41" s="8"/>
      <c r="H41" s="8"/>
    </row>
    <row r="42" spans="1:8" x14ac:dyDescent="0.25">
      <c r="A42" s="6" t="s">
        <v>46</v>
      </c>
      <c r="B42" s="10">
        <v>112.48</v>
      </c>
      <c r="C42" s="10"/>
      <c r="D42" s="10"/>
      <c r="E42" s="10"/>
      <c r="F42" s="10"/>
      <c r="G42" s="10"/>
      <c r="H42" s="10"/>
    </row>
    <row r="43" spans="1:8" x14ac:dyDescent="0.25">
      <c r="A43" s="6" t="s">
        <v>47</v>
      </c>
      <c r="B43" s="8">
        <v>21</v>
      </c>
      <c r="C43" s="8"/>
      <c r="D43" s="8"/>
      <c r="E43" s="8"/>
      <c r="F43" s="8"/>
      <c r="G43" s="8"/>
      <c r="H43" s="8"/>
    </row>
    <row r="44" spans="1:8" x14ac:dyDescent="0.25">
      <c r="A44" s="6" t="s">
        <v>48</v>
      </c>
      <c r="B44" s="10">
        <v>157.46</v>
      </c>
      <c r="C44" s="10"/>
      <c r="D44" s="10"/>
      <c r="E44" s="10"/>
      <c r="F44" s="10"/>
      <c r="G44" s="10"/>
      <c r="H44" s="10"/>
    </row>
    <row r="45" spans="1:8" x14ac:dyDescent="0.25">
      <c r="A45" s="6" t="s">
        <v>49</v>
      </c>
      <c r="B45" s="9">
        <f>B41+B43</f>
      </c>
      <c r="C45" s="9">
        <f>C41+C43</f>
      </c>
      <c r="D45" s="9">
        <f>D41+D43</f>
      </c>
      <c r="E45" s="9">
        <f>E41+E43</f>
      </c>
      <c r="F45" s="9">
        <f>F41+F43</f>
      </c>
      <c r="G45" s="9">
        <f>G41+G43</f>
      </c>
      <c r="H45" s="9">
        <f>H41+H43</f>
      </c>
    </row>
    <row r="46" spans="1:8" x14ac:dyDescent="0.25">
      <c r="A46" s="6" t="s">
        <v>50</v>
      </c>
      <c r="B46" s="11">
        <f>B42+B44</f>
      </c>
      <c r="C46" s="11">
        <f>C42+C44</f>
      </c>
      <c r="D46" s="11">
        <f>D42+D44</f>
      </c>
      <c r="E46" s="11">
        <f>E42+E44</f>
      </c>
      <c r="F46" s="11">
        <f>F42+F44</f>
      </c>
      <c r="G46" s="11">
        <f>G42+G44</f>
      </c>
      <c r="H46" s="11">
        <f>H42+H44</f>
      </c>
    </row>
    <row r="47" ht="18" customHeight="1" spans="1:8" x14ac:dyDescent="0.25">
      <c r="A47" s="5" t="s">
        <v>51</v>
      </c>
      <c r="B47" s="5"/>
      <c r="C47" s="5"/>
      <c r="D47" s="5"/>
      <c r="E47" s="5"/>
      <c r="F47" s="5"/>
      <c r="G47" s="5"/>
      <c r="H47" s="5"/>
    </row>
    <row r="48" spans="1:8" x14ac:dyDescent="0.25">
      <c r="A48" s="6" t="s">
        <v>52</v>
      </c>
      <c r="B48" s="11">
        <f>N(B39)+N(B46)</f>
      </c>
      <c r="C48" s="11">
        <f>N(C39)+N(C46)</f>
      </c>
      <c r="D48" s="11">
        <f>N(D39)+N(D46)</f>
      </c>
      <c r="E48" s="11">
        <f>N(E39)+N(E46)</f>
      </c>
      <c r="F48" s="11">
        <f>N(F39)+N(F46)</f>
      </c>
      <c r="G48" s="11">
        <f>N(G39)+N(G46)</f>
      </c>
      <c r="H48" s="11">
        <f>N(H39)+N(H46)</f>
      </c>
    </row>
    <row r="49" spans="1:8" x14ac:dyDescent="0.25">
      <c r="A49" s="6" t="s">
        <v>53</v>
      </c>
      <c r="B49" s="11">
        <f>IF(OR(B32="",B32=0),"",B39/B32)</f>
      </c>
      <c r="C49" s="11">
        <f>IF(OR(C32="",C32=0),"",C39/C32)</f>
      </c>
      <c r="D49" s="11">
        <f>IF(OR(D32="",D32=0),"",D39/D32)</f>
      </c>
      <c r="E49" s="11">
        <f>IF(OR(E32="",E32=0),"",E39/E32)</f>
      </c>
      <c r="F49" s="11">
        <f>IF(OR(F32="",F32=0),"",F39/F32)</f>
      </c>
      <c r="G49" s="11">
        <f>IF(OR(G32="",G32=0),"",G39/G32)</f>
      </c>
      <c r="H49" s="11">
        <f>IF(OR(H32="",H32=0),"",H39/H32)</f>
      </c>
    </row>
    <row r="50" spans="1:8" x14ac:dyDescent="0.25">
      <c r="A50" s="6" t="s">
        <v>54</v>
      </c>
      <c r="B50" s="12">
        <f>IF(OR(B32="",B12=0),"",B32/B12)</f>
      </c>
      <c r="C50" s="12">
        <f>IF(OR(C32="",C12=0),"",C32/C12)</f>
      </c>
      <c r="D50" s="12">
        <f>IF(OR(D32="",D12=0),"",D32/D12)</f>
      </c>
      <c r="E50" s="12">
        <f>IF(OR(E32="",E12=0),"",E32/E12)</f>
      </c>
      <c r="F50" s="12">
        <f>IF(OR(F32="",F12=0),"",F32/F12)</f>
      </c>
      <c r="G50" s="12">
        <f>IF(OR(G32="",G12=0),"",G32/G12)</f>
      </c>
      <c r="H50" s="12">
        <f>IF(OR(H32="",H12=0),"",H32/H12)</f>
      </c>
    </row>
    <row r="51" spans="1:8" x14ac:dyDescent="0.25">
      <c r="A51" s="6" t="s">
        <v>55</v>
      </c>
      <c r="B51" s="12">
        <f>IF(OR(B32="",B25=0),"",B32/B25)</f>
      </c>
      <c r="C51" s="12">
        <f>IF(OR(C32="",C25=0),"",C32/C25)</f>
      </c>
      <c r="D51" s="12">
        <f>IF(OR(D32="",D25=0),"",D32/D25)</f>
      </c>
      <c r="E51" s="12">
        <f>IF(OR(E32="",E25=0),"",E32/E25)</f>
      </c>
      <c r="F51" s="12">
        <f>IF(OR(F32="",F25=0),"",F32/F25)</f>
      </c>
      <c r="G51" s="12">
        <f>IF(OR(G32="",G25=0),"",G32/G25)</f>
      </c>
      <c r="H51" s="12">
        <f>IF(OR(H32="",H25=0),"",H32/H25)</f>
      </c>
    </row>
    <row r="52" spans="1:8" x14ac:dyDescent="0.25">
      <c r="A52" s="6" t="s">
        <v>56</v>
      </c>
      <c r="B52" s="12">
        <f>IF(OR(B32="",B28=0),"",B32/B28)</f>
      </c>
      <c r="C52" s="12">
        <f>IF(OR(C32="",C28=0),"",C32/C28)</f>
      </c>
      <c r="D52" s="12">
        <f>IF(OR(D32="",D28=0),"",D32/D28)</f>
      </c>
      <c r="E52" s="12">
        <f>IF(OR(E32="",E28=0),"",E32/E28)</f>
      </c>
      <c r="F52" s="12">
        <f>IF(OR(F32="",F28=0),"",F32/F28)</f>
      </c>
      <c r="G52" s="12">
        <f>IF(OR(G32="",G28=0),"",G32/G28)</f>
      </c>
      <c r="H52" s="12">
        <f>IF(OR(H32="",H28=0),"",H32/H28)</f>
      </c>
    </row>
    <row r="53" spans="1:8" x14ac:dyDescent="0.25">
      <c r="A53" s="6" t="s">
        <v>57</v>
      </c>
      <c r="B53" s="13">
        <f>IF(OR(B39="",B13="",B13=0),"",B48/B13)</f>
      </c>
      <c r="C53" s="13">
        <f>IF(OR(C39="",C13="",C13=0),"",C48/C13)</f>
      </c>
      <c r="D53" s="13">
        <f>IF(OR(D39="",D13="",D13=0),"",D48/D13)</f>
      </c>
      <c r="E53" s="13">
        <f>IF(OR(E39="",E13="",E13=0),"",E48/E13)</f>
      </c>
      <c r="F53" s="13">
        <f>IF(OR(F39="",F13="",F13=0),"",F48/F13)</f>
      </c>
      <c r="G53" s="13">
        <f>IF(OR(G39="",G13="",G13=0),"",G48/G13)</f>
      </c>
      <c r="H53" s="13">
        <f>IF(OR(H39="",H13="",H13=0),"",H48/H13)</f>
      </c>
    </row>
    <row r="54" spans="1:8" x14ac:dyDescent="0.25">
      <c r="A54" s="6" t="s">
        <v>58</v>
      </c>
      <c r="B54" s="11">
        <f>IF(OR(B39="",B13=""),"",B48-B13)</f>
      </c>
      <c r="C54" s="11">
        <f>IF(OR(C39="",C13=""),"",C48-C13)</f>
      </c>
      <c r="D54" s="11">
        <f>IF(OR(D39="",D13=""),"",D48-D13)</f>
      </c>
      <c r="E54" s="11">
        <f>IF(OR(E39="",E13=""),"",E48-E13)</f>
      </c>
      <c r="F54" s="11">
        <f>IF(OR(F39="",F13=""),"",F48-F13)</f>
      </c>
      <c r="G54" s="11">
        <f>IF(OR(G39="",G13=""),"",G48-G13)</f>
      </c>
      <c r="H54" s="11">
        <f>IF(OR(H39="",H13=""),"",H48-H13)</f>
      </c>
    </row>
    <row r="55" spans="1:8" x14ac:dyDescent="0.25">
      <c r="A55" s="6" t="s">
        <v>59</v>
      </c>
      <c r="B55" s="11">
        <f>IF(OR(B13="",B32="",B32=0),"",B13/B32)</f>
      </c>
      <c r="C55" s="11">
        <f>IF(OR(C13="",C32="",C32=0),"",C13/C32)</f>
      </c>
      <c r="D55" s="11">
        <f>IF(OR(D13="",D32="",D32=0),"",D13/D32)</f>
      </c>
      <c r="E55" s="11">
        <f>IF(OR(E13="",E32="",E32=0),"",E13/E32)</f>
      </c>
      <c r="F55" s="11">
        <f>IF(OR(F13="",F32="",F32=0),"",F13/F32)</f>
      </c>
      <c r="G55" s="11">
        <f>IF(OR(G13="",G32="",G32=0),"",G13/G32)</f>
      </c>
      <c r="H55" s="11">
        <f>IF(OR(H13="",H32="",H32=0),"",H13/H32)</f>
      </c>
    </row>
    <row r="57" spans="1:8" x14ac:dyDescent="0.25">
      <c r="A57" s="14" t="s">
        <v>60</v>
      </c>
      <c r="B57" s="14"/>
      <c r="C57" s="14"/>
      <c r="D57" s="14"/>
      <c r="E57" s="14"/>
      <c r="F57" s="14"/>
      <c r="G57" s="14"/>
      <c r="H57" s="14"/>
    </row>
    <row r="58" spans="1:8" x14ac:dyDescent="0.25">
      <c r="A58" s="14" t="s">
        <v>61</v>
      </c>
      <c r="B58" s="14"/>
      <c r="C58" s="14"/>
      <c r="D58" s="14"/>
      <c r="E58" s="14"/>
      <c r="F58" s="14"/>
      <c r="G58" s="14"/>
      <c r="H58" s="14"/>
    </row>
    <row r="59" spans="1:8" x14ac:dyDescent="0.25">
      <c r="A59" s="14" t="s">
        <v>62</v>
      </c>
      <c r="B59" s="14"/>
      <c r="C59" s="14"/>
      <c r="D59" s="14"/>
      <c r="E59" s="14"/>
      <c r="F59" s="14"/>
      <c r="G59" s="14"/>
      <c r="H59" s="14"/>
    </row>
    <row r="60" spans="1:8" x14ac:dyDescent="0.25">
      <c r="A60" s="14" t="s">
        <v>63</v>
      </c>
      <c r="B60" s="14"/>
      <c r="C60" s="14"/>
      <c r="D60" s="14"/>
      <c r="E60" s="14"/>
      <c r="F60" s="14"/>
      <c r="G60" s="14"/>
      <c r="H60" s="14"/>
    </row>
  </sheetData>
  <mergeCells count="13">
    <mergeCell ref="A1:H1"/>
    <mergeCell ref="A2:H2"/>
    <mergeCell ref="A4:H4"/>
    <mergeCell ref="A8:H8"/>
    <mergeCell ref="A15:H15"/>
    <mergeCell ref="A24:H24"/>
    <mergeCell ref="A31:H31"/>
    <mergeCell ref="A40:H40"/>
    <mergeCell ref="A47:H47"/>
    <mergeCell ref="A57:H57"/>
    <mergeCell ref="A58:H58"/>
    <mergeCell ref="A59:H59"/>
    <mergeCell ref="A60:H60"/>
  </mergeCells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I10"/>
  <sheetViews>
    <sheetView workbookViewId="0">
      <pane ySplit="3" topLeftCell="A4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40" customWidth="1"/>
    <col min="3" max="3" width="11" customWidth="1"/>
    <col min="4" max="9" width="13" customWidth="1"/>
  </cols>
  <sheetData>
    <row r="1" ht="24" customHeight="1" spans="1:9" x14ac:dyDescent="0.25">
      <c r="A1" s="15" t="s">
        <v>64</v>
      </c>
      <c r="B1" s="15"/>
      <c r="C1" s="15"/>
      <c r="D1" s="15"/>
      <c r="E1" s="15"/>
      <c r="F1" s="15"/>
      <c r="G1" s="15"/>
      <c r="H1" s="15"/>
      <c r="I1" s="15"/>
    </row>
    <row r="2" spans="1:9" x14ac:dyDescent="0.25">
      <c r="A2" s="2" t="s">
        <v>65</v>
      </c>
      <c r="B2" s="2"/>
      <c r="C2" s="2"/>
      <c r="D2" s="2"/>
      <c r="E2" s="2"/>
      <c r="F2" s="2"/>
      <c r="G2" s="2"/>
      <c r="H2" s="2"/>
      <c r="I2" s="2"/>
    </row>
    <row r="3" spans="1:9" x14ac:dyDescent="0.25">
      <c r="A3" s="3" t="s">
        <v>66</v>
      </c>
      <c r="B3" s="3" t="s">
        <v>67</v>
      </c>
      <c r="C3" s="16" t="s">
        <v>68</v>
      </c>
      <c r="D3" s="16" t="s">
        <v>69</v>
      </c>
      <c r="E3" s="16" t="s">
        <v>70</v>
      </c>
      <c r="F3" s="16" t="s">
        <v>71</v>
      </c>
      <c r="G3" s="16" t="s">
        <v>72</v>
      </c>
      <c r="H3" s="16" t="s">
        <v>73</v>
      </c>
      <c r="I3" s="16" t="s">
        <v>74</v>
      </c>
    </row>
    <row r="4" spans="1:9" x14ac:dyDescent="0.25">
      <c r="A4" s="17" t="s">
        <v>75</v>
      </c>
      <c r="B4" s="18" t="s">
        <v>76</v>
      </c>
      <c r="C4" s="7" t="s">
        <v>77</v>
      </c>
      <c r="D4" s="8"/>
      <c r="E4" s="8"/>
      <c r="F4" s="19">
        <f>IF(OR(D4="",D4=0),"",E4/D4)</f>
      </c>
      <c r="G4" s="8"/>
      <c r="H4" s="19">
        <f>IF(OR(D4="",D4=0),"",G4/D4)</f>
      </c>
      <c r="I4" s="8"/>
    </row>
    <row r="5" spans="1:9" x14ac:dyDescent="0.25">
      <c r="A5" s="17" t="s">
        <v>78</v>
      </c>
      <c r="B5" s="18" t="s">
        <v>79</v>
      </c>
      <c r="C5" s="7" t="s">
        <v>80</v>
      </c>
      <c r="D5" s="8"/>
      <c r="E5" s="8"/>
      <c r="F5" s="19">
        <f>IF(OR(D5="",D5=0),"",E5/D5)</f>
      </c>
      <c r="G5" s="8"/>
      <c r="H5" s="19">
        <f>IF(OR(D5="",D5=0),"",G5/D5)</f>
      </c>
      <c r="I5" s="8"/>
    </row>
    <row r="6" spans="1:9" x14ac:dyDescent="0.25">
      <c r="A6" s="17" t="s">
        <v>81</v>
      </c>
      <c r="B6" s="18" t="s">
        <v>82</v>
      </c>
      <c r="C6" s="7" t="s">
        <v>80</v>
      </c>
      <c r="D6" s="8"/>
      <c r="E6" s="8"/>
      <c r="F6" s="19">
        <f>IF(OR(D6="",D6=0),"",E6/D6)</f>
      </c>
      <c r="G6" s="8"/>
      <c r="H6" s="19">
        <f>IF(OR(D6="",D6=0),"",G6/D6)</f>
      </c>
      <c r="I6" s="8"/>
    </row>
    <row r="7" spans="1:9" x14ac:dyDescent="0.25">
      <c r="A7" s="17" t="s">
        <v>83</v>
      </c>
      <c r="B7" s="18" t="s">
        <v>84</v>
      </c>
      <c r="C7" s="7" t="s">
        <v>85</v>
      </c>
      <c r="D7" s="8"/>
      <c r="E7" s="8"/>
      <c r="F7" s="19">
        <f>IF(OR(D7="",D7=0),"",E7/D7)</f>
      </c>
      <c r="G7" s="8"/>
      <c r="H7" s="19">
        <f>IF(OR(D7="",D7=0),"",G7/D7)</f>
      </c>
      <c r="I7" s="8"/>
    </row>
    <row r="8" spans="1:9" x14ac:dyDescent="0.25">
      <c r="A8" s="17" t="s">
        <v>86</v>
      </c>
      <c r="B8" s="18" t="s">
        <v>87</v>
      </c>
      <c r="C8" s="7" t="s">
        <v>88</v>
      </c>
      <c r="D8" s="8"/>
      <c r="E8" s="8"/>
      <c r="F8" s="19">
        <f>IF(OR(D8="",D8=0),"",E8/D8)</f>
      </c>
      <c r="G8" s="8"/>
      <c r="H8" s="19">
        <f>IF(OR(D8="",D8=0),"",G8/D8)</f>
      </c>
      <c r="I8" s="8"/>
    </row>
    <row r="9" spans="1:9" x14ac:dyDescent="0.25">
      <c r="A9" s="17" t="s">
        <v>89</v>
      </c>
      <c r="B9" s="18" t="s">
        <v>90</v>
      </c>
      <c r="C9" s="7" t="s">
        <v>91</v>
      </c>
      <c r="D9" s="8"/>
      <c r="E9" s="8"/>
      <c r="F9" s="19">
        <f>IF(OR(D9="",D9=0),"",E9/D9)</f>
      </c>
      <c r="G9" s="8"/>
      <c r="H9" s="19">
        <f>IF(OR(D9="",D9=0),"",G9/D9)</f>
      </c>
      <c r="I9" s="8"/>
    </row>
    <row r="10" spans="1:9" x14ac:dyDescent="0.25">
      <c r="A10" s="17" t="s">
        <v>92</v>
      </c>
      <c r="B10" s="18" t="s">
        <v>93</v>
      </c>
      <c r="C10" s="7" t="s">
        <v>91</v>
      </c>
      <c r="D10" s="8"/>
      <c r="E10" s="8"/>
      <c r="F10" s="19">
        <f>IF(OR(D10="",D10=0),"",E10/D10)</f>
      </c>
      <c r="G10" s="8"/>
      <c r="H10" s="19">
        <f>IF(OR(D10="",D10=0),"",G10/D10)</f>
      </c>
      <c r="I10" s="8"/>
    </row>
  </sheetData>
  <mergeCells count="2">
    <mergeCell ref="A1:I1"/>
    <mergeCell ref="A2:I2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Launch-Auswertung</vt:lpstr>
      <vt:lpstr>Sales-Mails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2026-08-24T13:50:18Z</dcterms:created>
  <dcterms:modified xsi:type="dcterms:W3CDTF">2026-08-24T13:50:18Z</dcterms:modified>
</cp:coreProperties>
</file>