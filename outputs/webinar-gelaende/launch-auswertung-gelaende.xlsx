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200" windowHeight="11055"/>
  </bookViews>
  <sheets>
    <sheet sheetId="1" name="Launch-Auswertung" state="visible" r:id="rId4"/>
    <sheet sheetId="2" name="Sales-Mails" state="visible" r:id="rId5"/>
    <sheet sheetId="3" name="Fazit" state="visible" r:id="rId6"/>
    <sheet sheetId="4" name="Downsell-Mails" state="visible" r:id="rId7"/>
  </sheets>
  <calcPr calcId="171027"/>
</workbook>
</file>

<file path=xl/sharedStrings.xml><?xml version="1.0" encoding="utf-8"?>
<sst xmlns="http://schemas.openxmlformats.org/spreadsheetml/2006/main" count="214" uniqueCount="166">
  <si>
    <t>Launch-Auswertung Gelände-Webinar</t>
  </si>
  <si>
    <t>Monatlich fortführen. Beige Zeilen berechnen sich automatisch. Neue Spalte = neuer Launch.</t>
  </si>
  <si>
    <t>Kennzahl</t>
  </si>
  <si>
    <t>Aug 2026</t>
  </si>
  <si>
    <t>Sep 2026</t>
  </si>
  <si>
    <t>Okt 2026</t>
  </si>
  <si>
    <t/>
  </si>
  <si>
    <t>ECKDATEN</t>
  </si>
  <si>
    <t>Webinar-Wochentag</t>
  </si>
  <si>
    <t>Sonntag</t>
  </si>
  <si>
    <t>Webinar-Datum</t>
  </si>
  <si>
    <t>23.08.2026</t>
  </si>
  <si>
    <t>27.09.2026</t>
  </si>
  <si>
    <t>Webinar-Uhrzeit</t>
  </si>
  <si>
    <t>19:00 Uhr</t>
  </si>
  <si>
    <t>TRAFFIC &amp; ANMELDUNGEN</t>
  </si>
  <si>
    <t>Anmeldungen organisch</t>
  </si>
  <si>
    <t>Anmeldungen Ads</t>
  </si>
  <si>
    <t>Überschneidung org/Ads</t>
  </si>
  <si>
    <t>Anmeldungen gesamt (eindeutig)</t>
  </si>
  <si>
    <t>Ad-Spend Webinar (€)</t>
  </si>
  <si>
    <t>Cost per Lead (€)</t>
  </si>
  <si>
    <t>OPT-IN &amp; SALESPAGE</t>
  </si>
  <si>
    <t>Opt-in Aufrufe organisch</t>
  </si>
  <si>
    <t>Opt-in Conversion organisch</t>
  </si>
  <si>
    <t>Opt-in Aufrufe Ads</t>
  </si>
  <si>
    <t>Opt-in Conversion Ads</t>
  </si>
  <si>
    <t>Opt-in Aufrufe gesamt</t>
  </si>
  <si>
    <t>Opt-in Conversion gesamt</t>
  </si>
  <si>
    <t>Salespage Aufrufe (manuell)</t>
  </si>
  <si>
    <t>Salespage Conversion (Programm)</t>
  </si>
  <si>
    <t>WEBINAR</t>
  </si>
  <si>
    <t>Live-Teilnehmer (eindeutig)</t>
  </si>
  <si>
    <t>Show-up-Rate</t>
  </si>
  <si>
    <t>Ø Verweildauer (Min)</t>
  </si>
  <si>
    <t>Anwesend beim Pitch-Start</t>
  </si>
  <si>
    <t>Pitch-Anwesenheit (% der Live)</t>
  </si>
  <si>
    <t>Anwesend am Ende</t>
  </si>
  <si>
    <t>VERKAUF — PROGRAMM (549 €, ab Okt-Runde 749 €)</t>
  </si>
  <si>
    <t>Programm-Käufe gesamt (Stück)</t>
  </si>
  <si>
    <t>Programm Nettoumsatz gesamt (€)</t>
  </si>
  <si>
    <t xml:space="preserve">  davon Ads — Stück</t>
  </si>
  <si>
    <t xml:space="preserve">  davon Ads — Nettoumsatz (€)</t>
  </si>
  <si>
    <t xml:space="preserve">  davon organisch — Stück</t>
  </si>
  <si>
    <t xml:space="preserve">  davon organisch — Nettoumsatz (€)</t>
  </si>
  <si>
    <t xml:space="preserve">  davon Einmalzahlung</t>
  </si>
  <si>
    <t xml:space="preserve">  davon Teilzahlung</t>
  </si>
  <si>
    <t>Gesprächstermine gebucht</t>
  </si>
  <si>
    <t xml:space="preserve">  davon gekauft</t>
  </si>
  <si>
    <t>Storno / Rückgabe (14 Tage)</t>
  </si>
  <si>
    <t>Netto-Käufe Programm (Stück)</t>
  </si>
  <si>
    <t>VERKAUF — VIP-PAKET (9 €)</t>
  </si>
  <si>
    <t>VIP Ads — Stück</t>
  </si>
  <si>
    <t>VIP Ads — Nettoumsatz (€)</t>
  </si>
  <si>
    <t>VIP organisch — Stück</t>
  </si>
  <si>
    <t>VIP organisch — Nettoumsatz (€)</t>
  </si>
  <si>
    <t>VIP gesamt — Stück</t>
  </si>
  <si>
    <t>VIP gesamt — Nettoumsatz (€)</t>
  </si>
  <si>
    <t>UMSATZ &amp; WIRTSCHAFTLICHKEIT</t>
  </si>
  <si>
    <t>Ad-Umsatz (Programm-Ads + VIP-Ads) (€)</t>
  </si>
  <si>
    <t>Organisch-Umsatz (Programm-org + VIP-org) (€)</t>
  </si>
  <si>
    <t>Gesamt-Nettoumsatz (€)</t>
  </si>
  <si>
    <t>Ø Bestellwert Programm (€)</t>
  </si>
  <si>
    <t>Conversion Anmeldung→Kauf (Programm)</t>
  </si>
  <si>
    <t>Conversion Live→Kauf (Programm)</t>
  </si>
  <si>
    <t>Conversion Pitch→Kauf (Programm)</t>
  </si>
  <si>
    <t>★ Ad-ROAS (nur Ads-Umsatz / Ad-Spend)</t>
  </si>
  <si>
    <t>Gesamt-ROAS (Gesamt-Umsatz / Ad-Spend)</t>
  </si>
  <si>
    <t>Cost per Ad-Sale (Ad-Spend / Ads-Käufe) (€)</t>
  </si>
  <si>
    <t>Gewinn grob (Gesamt-Umsatz - Ad-Spend) (€)</t>
  </si>
  <si>
    <t>SHOW-UP NACH QUELLE (Proxy: Zoom-Link geklickt)</t>
  </si>
  <si>
    <t>Zoom-Link-Klicker organisch (Stück)</t>
  </si>
  <si>
    <t>Zoom-Link-Klicker Ads (Stück)</t>
  </si>
  <si>
    <t>Show-up organisch (Proxy)</t>
  </si>
  <si>
    <t>Show-up Ads (Proxy)</t>
  </si>
  <si>
    <t>ADS-KÄUFERINNEN — ANMELDEDATUM (fürs Ads-Timing)</t>
  </si>
  <si>
    <t>Ads-Käuferin 1 angemeldet am</t>
  </si>
  <si>
    <t>10.08.2026 (13 Tage vor Webinar)</t>
  </si>
  <si>
    <t>Ads-Käuferin 2 angemeldet am</t>
  </si>
  <si>
    <t>22.08.2026 (1 Tag vor Webinar)</t>
  </si>
  <si>
    <t>CHECKOUT (ThriveCart) — Gelände-Programm</t>
  </si>
  <si>
    <t>Checkout-Aufrufe (Bezahlseite)</t>
  </si>
  <si>
    <t>Bestellungen über Checkout</t>
  </si>
  <si>
    <t>Checkout-Conversion (Bestellungen/Aufrufe)</t>
  </si>
  <si>
    <t>Checkout = wie oft die ThriveCart-Bezahlseite (Produkt 44 Gelände-Programm) geöffnet wurde. Aug-2026-Launch, Verkaufsphase 23.–27.08.: 37 Aufrufe → 7 Bestellungen = 18,9 %. Zählt ALLE Besucher der Bezahlseite. Die 7 decken sich exakt mit den 7 Programm-Käufen (Cross-Check). Niedrige Conversion trotz vieler Aufrufe = an der Bezahlseite optimieren (Preis-Darstellung, Teilzahlung sichtbar machen, Vertrauens-Elemente, Ladezeit).</t>
  </si>
  <si>
    <t>Legende: Weiße Felder = du trägst ein. Beige Felder = rechnen sich automatisch. ★ Ad-ROAS = die wichtigste Ads-Kennzahl.</t>
  </si>
  <si>
    <t>ENDSTAND (Verkaufsphase beendet, Do 27.08.): 7 Programm-Käufe netto (5 Einmalzahlung + 2 Teilzahlung), Nettoumsatz 3.415,98 € (Teilzahlung als voller Vertragswert). 1 organische Einmalzahlung wurde storniert (−461,34 €) und ist bereits herausgerechnet. Aufteilung: Ads 2 / 922,68 €, organisch 5 / 2.493,30 €. Mindestens 1 Verkauf kam über ein Gespräch. VIP 36 / 269,94 €. Gesamt-Nettoumsatz 3.685,92 €, Ad-Spend 1.124,64 €, Gewinn grob 2.561,28 €.</t>
  </si>
  <si>
    <t>Ads/organisch-Split trägst du manuell nach (eine Salespage, keine automatische Trennung). Du siehst beim Kauf, wer aus Ads oder organisch kam, und füllst die weißen Ads-/organisch-Felder selbst.</t>
  </si>
  <si>
    <t>Sobald die Ads-/organisch-Felder gefüllt sind, rechnet sich der Ad-ROAS (nur Ads-Umsatz gegen Ad-Spend) automatisch.</t>
  </si>
  <si>
    <t>Show-up nach Quelle = Näherung über „Zoom-Link geklickt" (4 Erinnerungs-/Live-Mails, dedupliziert, gegen die Anmeldelisten gematcht; Bot-/Scanner-Klicks fallen automatisch raus). Klick ist etwas lockerer als „bis zum Schluss dabei". Verifiziert plausibel: Proxy-Gesamt 42,9 % liegt knapp über der echten Gesamt-Show-up von 40,5 %.</t>
  </si>
  <si>
    <t>SEP 2026 (Stand 28.09.): Anmeldungen aus Devine-Tags „gelände webinar 09.26" (82) + „gelände webinar ads 09.26" (71), 3 doppelt → 150. Ad-Spend 535,32 € (Meta-API: Sandkasten August 14.–17.09. 224,39 € · Interessen September 17.–22.09. 206,79 € · Broad September 17.–22.09. 104,14 €); Budget ab 22.09. aufgebraucht → 5 Tage vor dem Webinar keine neuen Ads-Anmeldungen. Live 47 = Zoom-Namen bereinigt (72 Einwahlen). Pitch-Start nach 59 Min (Aug nach 75 Min). Show-up nach Quelle diesmal ohne Link-Klick-Proxy; Namensabgleich Zoom↔Devine: von 21 zuordenbaren Personen 18 organisch, 3 Ads. Preis diese Runde weiter 549 € (Klarna ab 49 €/Monat), Schnellentscheider-Bonus Tiergespräch bis Mo 28.09. Verkäufe/VIP/Checkout folgen nach Cart-Close Do 01.10.</t>
  </si>
  <si>
    <t>ZUSATZVERKÄUFE / CROSS-SELL (außerhalb ThriveCart)</t>
  </si>
  <si>
    <t>Freiarbeitskurs (Stück)</t>
  </si>
  <si>
    <t>Freiarbeitskurs Nettoumsatz (€)</t>
  </si>
  <si>
    <t>Hinweis: Verkauf 1 (Telefonat, 28.09.) inkl. Freiarbeitskurs lief außerhalb ThriveCart (Rechnung/Digistore). Verkauf 2 (30.09.) in ThriveCart mit 0 % USt (netto=brutto=549). V1-Netto mit 19 % angenommen.</t>
  </si>
  <si>
    <t>Sales-Mail-Auswertung Gelände-Webinar (Aug 2026)</t>
  </si>
  <si>
    <t>Zahlen aus Devine (Zugestellt/Geöffnet/Geklickt/Abmeldung). Öffnungs- und Klickrate rechnen sich automatisch. „Käufe danach" = Verkäufe, die zeitlich auf diese Mail folgten.</t>
  </si>
  <si>
    <t>Mail</t>
  </si>
  <si>
    <t>Betreff</t>
  </si>
  <si>
    <t>Versand</t>
  </si>
  <si>
    <t>Empfänger</t>
  </si>
  <si>
    <t>Öffnungen</t>
  </si>
  <si>
    <t>Öffnungsrate</t>
  </si>
  <si>
    <t>Klicks</t>
  </si>
  <si>
    <t>Klickrate</t>
  </si>
  <si>
    <t>Abmeldungen</t>
  </si>
  <si>
    <t>Käufe danach</t>
  </si>
  <si>
    <t>Mail 1 direkt nach Webinar</t>
  </si>
  <si>
    <t>🐴 Für die Schnellentschlossenen unter euch</t>
  </si>
  <si>
    <t>So 23.08.</t>
  </si>
  <si>
    <t>Mail 2 Testimonials</t>
  </si>
  <si>
    <t>❤️ Das erleben meine Schülerinnen im Gelände</t>
  </si>
  <si>
    <t>Mo 24.08.</t>
  </si>
  <si>
    <t>Mail 3 Frühbucher Ende</t>
  </si>
  <si>
    <t>⏳ Um Mitternacht ist der Schmerzguide weg</t>
  </si>
  <si>
    <t>Mail 4 Kursinhalte</t>
  </si>
  <si>
    <t>🐴 Alles, was im Gelände-Programm auf dich wartet</t>
  </si>
  <si>
    <t>Di 25.08.</t>
  </si>
  <si>
    <t>Mail 5 FAQ</t>
  </si>
  <si>
    <t>Dein Name fehlt noch auf meiner Liste</t>
  </si>
  <si>
    <t>Mi 26.08.</t>
  </si>
  <si>
    <t>Mail 6 Einwand</t>
  </si>
  <si>
    <t>Schaffe ich das wirklich alleine?</t>
  </si>
  <si>
    <t>Do 27.08.</t>
  </si>
  <si>
    <t>Mail 7 Ende</t>
  </si>
  <si>
    <t>⏳ Gleich ist die Tür zu</t>
  </si>
  <si>
    <t>Abmeldungen gesamt (Sequenz)</t>
  </si>
  <si>
    <t>Soft-Opt-out genutzt (Trigger-Link, nur aus Sales-Strecke raus)</t>
  </si>
  <si>
    <t>Der Soft-Opt-out sind Kontakte, die keine weiteren Sales-Mails wollten, aber über den Trigger-Link auf der Liste geblieben sind (statt komplett abzumelden). Quelle: Anmeldeverlauf des Workflows „Gelände Sales Opt-out".</t>
  </si>
  <si>
    <t>Sales-Mail-Auswertung Gelände-Webinar (Sep 2026)</t>
  </si>
  <si>
    <t>Zahlen aus Devine (je Kontakt ein Status: Zugestellt/Geöffnet/Geklickt/Beantwortet/Abmeldung). Öffner = eindeutige Öffner inkl. Klicker und Antworter. Öffnungs- und Klickrate rechnen sich automatisch. Reihenfolge über Zustell-Zeitstempel. Betreff: Spalten aus dem Export nicht enthalten, bitte selbst ergänzen.</t>
  </si>
  <si>
    <t>Mail 1 nach Webinar</t>
  </si>
  <si>
    <t>🌳 Die Türen zum Gelände-Programm sind offen.</t>
  </si>
  <si>
    <t>So 27.09.</t>
  </si>
  <si>
    <t>Mail 2 Testimonial</t>
  </si>
  <si>
    <t>🌳❤️ Das erleben meine Schülerinnen im Gelände</t>
  </si>
  <si>
    <t>Mo 28.09.</t>
  </si>
  <si>
    <t>Mail 3 Frühbucherende</t>
  </si>
  <si>
    <t>🌳⏳ Um Mitternacht ist dein Bonus weg</t>
  </si>
  <si>
    <t>Mail 4 Kurseinblick</t>
  </si>
  <si>
    <t>🌳📋 Kurseinblicke ins Gelände-Programm</t>
  </si>
  <si>
    <t>Di 29.09.</t>
  </si>
  <si>
    <t>🌳🖊️ Dein Name fehlt auf meiner Liste</t>
  </si>
  <si>
    <t>Mi 30.09.</t>
  </si>
  <si>
    <t>🌳❓ Hilft mir das beim Ausreiten?</t>
  </si>
  <si>
    <t>Do 01.10.</t>
  </si>
  <si>
    <t>Mail 7 versteckter Bonus</t>
  </si>
  <si>
    <t>🌳🎁 Ich schenke dir noch was dazu</t>
  </si>
  <si>
    <t>Mail 8 Ende</t>
  </si>
  <si>
    <t>🌳😍 Du willst es doch auch.</t>
  </si>
  <si>
    <t>Fazit je Launch — Gelände-Webinar</t>
  </si>
  <si>
    <t>Launch</t>
  </si>
  <si>
    <t>Kurz-Fazit</t>
  </si>
  <si>
    <t>Starke, große Runde auf frischer Liste. 348 Anmeldungen (165 org / 192 Ads), 141 live (40,5 % Show-up), 7 Programm-Käufe netto (3.415,98 €) + 36 VIP, Gesamt-Nettoumsatz 3.685,92 €, Gewinn grob 2.561,28 €, Gesamt-ROAS 3,28 / Ad-ROAS 0,92. Stärkster Hebel: die 1:1-Gespräche (4 gebucht, 4 gekauft). Ads liefen durch, Show-up solide.</t>
  </si>
  <si>
    <t>Kleine, durch einen Automationsfehler gebremste Runde. 150 Anmeldungen (82 org / 71 Ads, CPL 7,54 €), 47 live (31 % Show-up), 2 Programm-Käufe (1.010,34 € netto) + 5 VIP + 1 Freiarbeitskurs-Cross-Sell, Gewinn grob 512,82 €, Gesamt-ROAS 1,96. Kernlehre: Die Vorfreude-/Reminder-Automation lief nur organisch → Ads-Show-up nur 2,8 % statt 34,1 % organisch (behoben für den 25.10.). Überarbeitete Verkaufsmails: Klickrate in 6 von 7 Mails gehalten/gesteigert, Reframe „Hilft mir das beim Ausreiten?" (M6) + neue Bonus-Mail (M7) = Keeper. Höhere Abmelderate (kleine, mehrfach angeschriebene Liste) = gesunde Selbstselektion.</t>
  </si>
  <si>
    <t>Downsell-Auswertung Gelände-Paket (Sep 2026)</t>
  </si>
  <si>
    <t>Downsell-Strecke an die Programm-Nicht-Käufer (Bundle Gelände-Schlüssel + sicher meistern, 199 €). Zahlen aus Devine. Käufe = Gelände-Paket-Bestellungen (ThriveCart).</t>
  </si>
  <si>
    <t>Downsell Mail 1</t>
  </si>
  <si>
    <t>Mo 05.10.</t>
  </si>
  <si>
    <t>Downsell Mail 2</t>
  </si>
  <si>
    <t>Di 06.10.</t>
  </si>
  <si>
    <t>Downsell Mail 3</t>
  </si>
  <si>
    <t>Mi 07.10. vorm.</t>
  </si>
  <si>
    <t>Downsell Mail 4 Last Call</t>
  </si>
  <si>
    <t>Mi 07.10. abends</t>
  </si>
  <si>
    <t>Abmeldungen gesamt (Downsell)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</si>
</sst>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€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7A6050"/>
      <sz val="9"/>
      <name val="Calibri"/>
    </font>
    <font>
      <b/>
      <color rgb="FFFFFFFF"/>
      <sz val="11"/>
      <name val="Calibri"/>
    </font>
    <font>
      <b/>
      <color rgb="FF7B3F28"/>
      <sz val="11"/>
      <name val="Calibri"/>
    </font>
    <font>
      <color rgb="FF2C2C2C"/>
      <sz val="11"/>
      <name val="Calibri"/>
    </font>
    <font>
      <i/>
      <sz val="11"/>
      <name val="Calibri"/>
    </font>
    <font>
      <b/>
      <sz val="11"/>
      <name val="Calibri"/>
    </font>
    <font>
      <i/>
      <sz val="9"/>
      <name val="Calibri"/>
    </font>
    <font>
      <b/>
      <color rgb="FFFFFFFF"/>
      <sz val="14"/>
      <name val="Calibri"/>
    </font>
    <font>
      <b/>
      <color rgb="FF2C2C2C"/>
      <sz val="11"/>
      <name val="Calibri"/>
    </font>
    <font>
      <i/>
      <color rgb="FF7A6050"/>
      <sz val="11"/>
      <name val="Calibri"/>
    </font>
    <font>
      <b/>
      <color rgb="FFFFFFFF"/>
      <sz val="13"/>
      <name val="Calibri"/>
    </font>
    <font>
      <b/>
      <color rgb="FFFFFFFF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B3F28"/>
      </patternFill>
    </fill>
    <fill>
      <patternFill patternType="solid">
        <fgColor rgb="FFC58B5C"/>
      </patternFill>
    </fill>
    <fill>
      <patternFill patternType="solid">
        <fgColor rgb="FFE4EADD"/>
      </patternFill>
    </fill>
    <fill>
      <patternFill patternType="solid">
        <fgColor rgb="FFF1E4D3"/>
      </patternFill>
    </fill>
    <fill>
      <patternFill patternType="solid">
        <fgColor rgb="FFE6C5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vertical="center" indent="1"/>
    </xf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6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6" fillId="5" borderId="0" xfId="0" applyNumberFormat="1" applyFont="1" applyFill="1" applyAlignment="1">
      <alignment horizontal="center"/>
    </xf>
    <xf numFmtId="165" fontId="6" fillId="5" borderId="0" xfId="0" applyNumberFormat="1" applyFont="1" applyFill="1" applyAlignment="1">
      <alignment horizontal="center"/>
    </xf>
    <xf numFmtId="2" fontId="6" fillId="5" borderId="0" xfId="0" applyNumberFormat="1" applyFont="1" applyFill="1" applyAlignment="1">
      <alignment horizontal="center"/>
    </xf>
    <xf numFmtId="165" fontId="6" fillId="5" borderId="0" xfId="0" applyNumberFormat="1" applyFont="1" applyFill="1"/>
    <xf numFmtId="0" fontId="2" fillId="0" borderId="0" xfId="0" applyFont="1" applyAlignment="1">
      <alignment vertical="top" wrapText="1"/>
    </xf>
    <xf numFmtId="0" fontId="7" fillId="0" borderId="0" xfId="0" applyFont="1"/>
    <xf numFmtId="164" fontId="0" fillId="0" borderId="0" xfId="0" applyNumberFormat="1"/>
    <xf numFmtId="0" fontId="8" fillId="0" borderId="0" xfId="0" applyFont="1"/>
    <xf numFmtId="0" fontId="9" fillId="2" borderId="0" xfId="0" applyFont="1" applyFill="1" applyAlignment="1">
      <alignment vertical="center" indent="1"/>
    </xf>
    <xf numFmtId="0" fontId="3" fillId="3" borderId="0" xfId="0" applyFont="1" applyFill="1" applyAlignment="1">
      <alignment horizontal="center" wrapText="1"/>
    </xf>
    <xf numFmtId="0" fontId="10" fillId="0" borderId="0" xfId="0" applyFont="1"/>
    <xf numFmtId="0" fontId="11" fillId="0" borderId="0" xfId="0" applyFont="1"/>
    <xf numFmtId="165" fontId="0" fillId="5" borderId="0" xfId="0" applyNumberFormat="1" applyFill="1" applyAlignment="1">
      <alignment horizontal="center"/>
    </xf>
    <xf numFmtId="3" fontId="7" fillId="0" borderId="0" xfId="0" applyNumberFormat="1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165" fontId="0" fillId="0" borderId="0" xfId="0" applyNumberFormat="1"/>
    <xf numFmtId="0" fontId="7" fillId="3" borderId="0" xfId="0" applyFont="1" applyFill="1"/>
    <xf numFmtId="0" fontId="12" fillId="2" borderId="0" xfId="0" applyFont="1" applyFill="1" applyAlignment="1">
      <alignment vertical="center"/>
    </xf>
    <xf numFmtId="0" fontId="7" fillId="6" borderId="0" xfId="0" applyFont="1" applyFill="1"/>
    <xf numFmtId="0" fontId="0" fillId="0" borderId="0" xfId="0" applyAlignment="1">
      <alignment vertical="top" wrapText="1"/>
    </xf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 zoomScale="100" zoomScaleNormal="100">
      <pane xSplit="1" ySplit="3" topLeftCell="B4" activePane="bottomRight" state="frozen"/>
      <selection pane="bottomRight" activeCell="O10" sqref="O10"/>
    </sheetView>
  </sheetViews>
  <sheetFormatPr defaultRowHeight="15" outlineLevelRow="0" outlineLevelCol="0" x14ac:dyDescent="0.25" defaultColWidth="9.140625"/>
  <cols>
    <col min="1" max="1" width="40" customWidth="1"/>
    <col min="2" max="8" width="13.42578125" customWidth="1"/>
  </cols>
  <sheetData>
    <row r="1" ht="26.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6</v>
      </c>
      <c r="G3" s="4" t="s">
        <v>6</v>
      </c>
      <c r="H3" s="4" t="s">
        <v>6</v>
      </c>
    </row>
    <row r="4" ht="18" customHeight="1" spans="1:8" x14ac:dyDescent="0.25">
      <c r="A4" s="5" t="s">
        <v>7</v>
      </c>
      <c r="B4" s="5"/>
      <c r="C4" s="5"/>
      <c r="D4" s="5"/>
      <c r="E4" s="5"/>
      <c r="F4" s="5"/>
      <c r="G4" s="5"/>
      <c r="H4" s="5"/>
    </row>
    <row r="5" spans="1:8" x14ac:dyDescent="0.25">
      <c r="A5" s="6" t="s">
        <v>8</v>
      </c>
      <c r="B5" s="7" t="s">
        <v>9</v>
      </c>
      <c r="C5" s="7" t="s">
        <v>9</v>
      </c>
      <c r="D5" s="7" t="s">
        <v>9</v>
      </c>
      <c r="E5" s="7"/>
      <c r="F5" s="7"/>
      <c r="G5" s="7"/>
      <c r="H5" s="7"/>
    </row>
    <row r="6" spans="1:8" x14ac:dyDescent="0.25">
      <c r="A6" s="6" t="s">
        <v>10</v>
      </c>
      <c r="B6" s="7" t="s">
        <v>11</v>
      </c>
      <c r="C6" s="7" t="s">
        <v>12</v>
      </c>
      <c r="D6" s="8">
        <v>46320</v>
      </c>
      <c r="E6" s="7"/>
      <c r="F6" s="7"/>
      <c r="G6" s="7"/>
      <c r="H6" s="7"/>
    </row>
    <row r="7" spans="1:8" x14ac:dyDescent="0.25">
      <c r="A7" s="6" t="s">
        <v>13</v>
      </c>
      <c r="B7" s="7" t="s">
        <v>14</v>
      </c>
      <c r="C7" s="7" t="s">
        <v>14</v>
      </c>
      <c r="D7" s="7" t="s">
        <v>14</v>
      </c>
      <c r="E7" s="7"/>
      <c r="F7" s="7"/>
      <c r="G7" s="7"/>
      <c r="H7" s="7"/>
    </row>
    <row r="8" ht="18" customHeight="1" spans="1:8" x14ac:dyDescent="0.25">
      <c r="A8" s="5" t="s">
        <v>15</v>
      </c>
      <c r="B8" s="5"/>
      <c r="C8" s="5"/>
      <c r="D8" s="5"/>
      <c r="E8" s="5"/>
      <c r="F8" s="5"/>
      <c r="G8" s="5"/>
      <c r="H8" s="5"/>
    </row>
    <row r="9" spans="1:8" x14ac:dyDescent="0.25">
      <c r="A9" s="6" t="s">
        <v>16</v>
      </c>
      <c r="B9" s="9">
        <v>165</v>
      </c>
      <c r="C9" s="9">
        <v>82</v>
      </c>
      <c r="D9" s="9">
        <v>87</v>
      </c>
      <c r="E9" s="9"/>
      <c r="F9" s="9"/>
      <c r="G9" s="9"/>
      <c r="H9" s="9"/>
    </row>
    <row r="10" spans="1:8" x14ac:dyDescent="0.25">
      <c r="A10" s="6" t="s">
        <v>17</v>
      </c>
      <c r="B10" s="9">
        <v>192</v>
      </c>
      <c r="C10" s="9">
        <v>71</v>
      </c>
      <c r="D10" s="9">
        <v>35</v>
      </c>
      <c r="E10" s="9"/>
      <c r="F10" s="9"/>
      <c r="G10" s="9"/>
      <c r="H10" s="9"/>
    </row>
    <row r="11" spans="1:8" x14ac:dyDescent="0.25">
      <c r="A11" s="6" t="s">
        <v>18</v>
      </c>
      <c r="B11" s="9">
        <v>9</v>
      </c>
      <c r="C11" s="9">
        <v>3</v>
      </c>
      <c r="D11" s="9">
        <v>0</v>
      </c>
      <c r="E11" s="9"/>
      <c r="F11" s="9"/>
      <c r="G11" s="9"/>
      <c r="H11" s="9"/>
    </row>
    <row r="12" spans="1:8" x14ac:dyDescent="0.25">
      <c r="A12" s="6" t="s">
        <v>19</v>
      </c>
      <c r="B12" s="10">
        <f t="shared" ref="B12:H12" si="0">B9+B10-B11</f>
        <v>348</v>
      </c>
      <c r="C12" s="10">
        <f t="shared" si="0"/>
        <v>150</v>
      </c>
      <c r="D12" s="10">
        <f>D9+D10-D11</f>
      </c>
      <c r="E12" s="10">
        <f t="shared" si="0"/>
        <v>0</v>
      </c>
      <c r="F12" s="10">
        <f t="shared" si="0"/>
        <v>0</v>
      </c>
      <c r="G12" s="10">
        <f t="shared" si="0"/>
        <v>0</v>
      </c>
      <c r="H12" s="10">
        <f t="shared" si="0"/>
        <v>0</v>
      </c>
    </row>
    <row r="13" spans="1:8" x14ac:dyDescent="0.25">
      <c r="A13" s="6" t="s">
        <v>20</v>
      </c>
      <c r="B13" s="11">
        <v>1124.64</v>
      </c>
      <c r="C13" s="11">
        <v>535.32</v>
      </c>
      <c r="D13" s="11">
        <v>204.24</v>
      </c>
      <c r="E13" s="11"/>
      <c r="F13" s="11"/>
      <c r="G13" s="11"/>
      <c r="H13" s="11"/>
    </row>
    <row r="14" spans="1:8" x14ac:dyDescent="0.25">
      <c r="A14" s="6" t="s">
        <v>21</v>
      </c>
      <c r="B14" s="12">
        <f t="shared" ref="B14:H14" si="1">IF(B10=0,"",B13/B10)</f>
        <v>5.857500000000001</v>
      </c>
      <c r="C14" s="12">
        <f t="shared" si="1"/>
        <v>7.539718309859156</v>
      </c>
      <c r="D14" s="12">
        <f t="shared" si="1"/>
        <v>5.053714285714285</v>
      </c>
      <c r="E14" s="12">
        <f t="shared" si="1"/>
      </c>
      <c r="F14" s="12">
        <f t="shared" si="1"/>
      </c>
      <c r="G14" s="12">
        <f t="shared" si="1"/>
      </c>
      <c r="H14" s="12">
        <f t="shared" si="1"/>
      </c>
    </row>
    <row r="15" ht="18" customHeight="1" spans="1:8" x14ac:dyDescent="0.25">
      <c r="A15" s="5" t="s">
        <v>22</v>
      </c>
      <c r="B15" s="5"/>
      <c r="C15" s="5"/>
      <c r="D15" s="5"/>
      <c r="E15" s="5"/>
      <c r="F15" s="5"/>
      <c r="G15" s="5"/>
      <c r="H15" s="5"/>
    </row>
    <row r="16" spans="1:8" x14ac:dyDescent="0.25">
      <c r="A16" s="6" t="s">
        <v>23</v>
      </c>
      <c r="B16" s="9">
        <v>318</v>
      </c>
      <c r="C16" s="9">
        <v>163</v>
      </c>
      <c r="D16" s="9">
        <v>131</v>
      </c>
      <c r="E16" s="9"/>
      <c r="F16" s="9"/>
      <c r="G16" s="9"/>
      <c r="H16" s="9"/>
    </row>
    <row r="17" spans="1:8" x14ac:dyDescent="0.25">
      <c r="A17" s="6" t="s">
        <v>24</v>
      </c>
      <c r="B17" s="13">
        <f t="shared" ref="B17:H17" si="2">IF(OR(B16="",B16=0),"",B9/B16)</f>
        <v>0.5188679245283019</v>
      </c>
      <c r="C17" s="13">
        <f t="shared" si="2"/>
        <v>0.5030674846625767</v>
      </c>
      <c r="D17" s="13">
        <f t="shared" si="2"/>
      </c>
      <c r="E17" s="13">
        <f t="shared" si="2"/>
      </c>
      <c r="F17" s="13">
        <f t="shared" si="2"/>
      </c>
      <c r="G17" s="13">
        <f t="shared" si="2"/>
      </c>
      <c r="H17" s="13">
        <f t="shared" si="2"/>
      </c>
    </row>
    <row r="18" spans="1:8" x14ac:dyDescent="0.25">
      <c r="A18" s="6" t="s">
        <v>25</v>
      </c>
      <c r="B18" s="9">
        <v>882</v>
      </c>
      <c r="C18" s="9">
        <v>345</v>
      </c>
      <c r="D18" s="9">
        <v>233</v>
      </c>
      <c r="E18" s="9"/>
      <c r="F18" s="9"/>
      <c r="G18" s="9"/>
      <c r="H18" s="9"/>
    </row>
    <row r="19" spans="1:8" x14ac:dyDescent="0.25">
      <c r="A19" s="6" t="s">
        <v>26</v>
      </c>
      <c r="B19" s="13">
        <f t="shared" ref="B19:H19" si="3">IF(OR(B18="",B18=0),"",B10/B18)</f>
        <v>0.21768707482993196</v>
      </c>
      <c r="C19" s="13">
        <f t="shared" si="3"/>
        <v>0.20579710144927535</v>
      </c>
      <c r="D19" s="13">
        <f t="shared" si="3"/>
      </c>
      <c r="E19" s="13">
        <f t="shared" si="3"/>
      </c>
      <c r="F19" s="13">
        <f t="shared" si="3"/>
      </c>
      <c r="G19" s="13">
        <f t="shared" si="3"/>
      </c>
      <c r="H19" s="13">
        <f t="shared" si="3"/>
      </c>
    </row>
    <row r="20" spans="1:8" x14ac:dyDescent="0.25">
      <c r="A20" s="6" t="s">
        <v>27</v>
      </c>
      <c r="B20" s="10">
        <f t="shared" ref="B20:H20" si="4">B16+B18</f>
        <v>1200</v>
      </c>
      <c r="C20" s="10">
        <f t="shared" si="4"/>
        <v>508</v>
      </c>
      <c r="D20" s="10">
        <f t="shared" si="4"/>
        <v>0</v>
      </c>
      <c r="E20" s="10">
        <f t="shared" si="4"/>
        <v>0</v>
      </c>
      <c r="F20" s="10">
        <f t="shared" si="4"/>
        <v>0</v>
      </c>
      <c r="G20" s="10">
        <f t="shared" si="4"/>
        <v>0</v>
      </c>
      <c r="H20" s="10">
        <f t="shared" si="4"/>
        <v>0</v>
      </c>
    </row>
    <row r="21" spans="1:8" x14ac:dyDescent="0.25">
      <c r="A21" s="6" t="s">
        <v>28</v>
      </c>
      <c r="B21" s="13">
        <f t="shared" ref="B21:H21" si="5">IF(OR(B20="",B20=0),"",B12/B20)</f>
        <v>0.29</v>
      </c>
      <c r="C21" s="13">
        <f t="shared" si="5"/>
        <v>0.2952755905511811</v>
      </c>
      <c r="D21" s="13">
        <f t="shared" si="5"/>
      </c>
      <c r="E21" s="13">
        <f t="shared" si="5"/>
      </c>
      <c r="F21" s="13">
        <f t="shared" si="5"/>
      </c>
      <c r="G21" s="13">
        <f t="shared" si="5"/>
      </c>
      <c r="H21" s="13">
        <f t="shared" si="5"/>
      </c>
    </row>
    <row r="22" spans="1:8" x14ac:dyDescent="0.25">
      <c r="A22" s="6" t="s">
        <v>29</v>
      </c>
      <c r="B22" s="9"/>
      <c r="C22" s="9">
        <v>16</v>
      </c>
      <c r="D22" s="9"/>
      <c r="E22" s="9"/>
      <c r="F22" s="9"/>
      <c r="G22" s="9"/>
      <c r="H22" s="9"/>
    </row>
    <row r="23" spans="1:8" x14ac:dyDescent="0.25">
      <c r="A23" s="6" t="s">
        <v>30</v>
      </c>
      <c r="B23" s="13">
        <f t="shared" ref="B23:H23" si="6">IF(OR(B22="",B22=0),"",B32/B22)</f>
      </c>
      <c r="C23" s="13">
        <f t="shared" si="6"/>
        <v>0.125</v>
      </c>
      <c r="D23" s="13">
        <f t="shared" si="6"/>
      </c>
      <c r="E23" s="13">
        <f t="shared" si="6"/>
      </c>
      <c r="F23" s="13">
        <f t="shared" si="6"/>
      </c>
      <c r="G23" s="13">
        <f t="shared" si="6"/>
      </c>
      <c r="H23" s="13">
        <f t="shared" si="6"/>
      </c>
    </row>
    <row r="24" ht="18" customHeight="1" spans="1:8" x14ac:dyDescent="0.25">
      <c r="A24" s="5" t="s">
        <v>31</v>
      </c>
      <c r="B24" s="5"/>
      <c r="C24" s="5"/>
      <c r="D24" s="5"/>
      <c r="E24" s="5"/>
      <c r="F24" s="5"/>
      <c r="G24" s="5"/>
      <c r="H24" s="5"/>
    </row>
    <row r="25" spans="1:8" x14ac:dyDescent="0.25">
      <c r="A25" s="6" t="s">
        <v>32</v>
      </c>
      <c r="B25" s="9">
        <v>141</v>
      </c>
      <c r="C25" s="9">
        <v>47</v>
      </c>
      <c r="D25" s="9">
        <v>39</v>
      </c>
      <c r="E25" s="9"/>
      <c r="F25" s="9"/>
      <c r="G25" s="9"/>
      <c r="H25" s="9"/>
    </row>
    <row r="26" spans="1:8" x14ac:dyDescent="0.25">
      <c r="A26" s="6" t="s">
        <v>33</v>
      </c>
      <c r="B26" s="13">
        <f t="shared" ref="B26:H26" si="7">IF(B12=0,"",B25/B12)</f>
        <v>0.4051724137931034</v>
      </c>
      <c r="C26" s="13">
        <f t="shared" si="7"/>
        <v>0.31333333333333335</v>
      </c>
      <c r="D26" s="13">
        <f t="shared" si="7"/>
        <v>0</v>
      </c>
      <c r="E26" s="13">
        <f t="shared" si="7"/>
      </c>
      <c r="F26" s="13">
        <f t="shared" si="7"/>
      </c>
      <c r="G26" s="13">
        <f t="shared" si="7"/>
      </c>
      <c r="H26" s="13">
        <f t="shared" si="7"/>
      </c>
    </row>
    <row r="27" spans="1:8" x14ac:dyDescent="0.25">
      <c r="A27" s="6" t="s">
        <v>34</v>
      </c>
      <c r="B27" s="9">
        <v>98</v>
      </c>
      <c r="C27" s="9">
        <v>87</v>
      </c>
      <c r="D27" s="9">
        <v>83</v>
      </c>
      <c r="E27" s="9"/>
      <c r="F27" s="9"/>
      <c r="G27" s="9"/>
      <c r="H27" s="9"/>
    </row>
    <row r="28" spans="1:8" x14ac:dyDescent="0.25">
      <c r="A28" s="6" t="s">
        <v>35</v>
      </c>
      <c r="B28" s="9">
        <v>110</v>
      </c>
      <c r="C28" s="9">
        <v>35</v>
      </c>
      <c r="D28" s="9">
        <v>25</v>
      </c>
      <c r="E28" s="9"/>
      <c r="F28" s="9"/>
      <c r="G28" s="9"/>
      <c r="H28" s="9"/>
    </row>
    <row r="29" spans="1:8" x14ac:dyDescent="0.25">
      <c r="A29" s="6" t="s">
        <v>36</v>
      </c>
      <c r="B29" s="13">
        <f t="shared" ref="B29:H29" si="8">IF(B25=0,"",B28/B25)</f>
        <v>0.7801418439716312</v>
      </c>
      <c r="C29" s="13">
        <f t="shared" si="8"/>
        <v>0.7446808510638298</v>
      </c>
      <c r="D29" s="13">
        <f t="shared" si="8"/>
      </c>
      <c r="E29" s="13">
        <f t="shared" si="8"/>
      </c>
      <c r="F29" s="13">
        <f t="shared" si="8"/>
      </c>
      <c r="G29" s="13">
        <f t="shared" si="8"/>
      </c>
      <c r="H29" s="13">
        <f t="shared" si="8"/>
      </c>
    </row>
    <row r="30" spans="1:8" x14ac:dyDescent="0.25">
      <c r="A30" s="6" t="s">
        <v>37</v>
      </c>
      <c r="B30" s="9">
        <v>27</v>
      </c>
      <c r="C30" s="9">
        <v>13</v>
      </c>
      <c r="D30" s="9">
        <v>14</v>
      </c>
      <c r="E30" s="9"/>
      <c r="F30" s="9"/>
      <c r="G30" s="9"/>
      <c r="H30" s="9"/>
    </row>
    <row r="31" ht="18" customHeight="1" spans="1:8" x14ac:dyDescent="0.25">
      <c r="A31" s="5" t="s">
        <v>38</v>
      </c>
      <c r="B31" s="5"/>
      <c r="C31" s="5"/>
      <c r="D31" s="5"/>
      <c r="E31" s="5"/>
      <c r="F31" s="5"/>
      <c r="G31" s="5"/>
      <c r="H31" s="5"/>
    </row>
    <row r="32" spans="1:8" x14ac:dyDescent="0.25">
      <c r="A32" s="6" t="s">
        <v>39</v>
      </c>
      <c r="B32" s="9">
        <v>7</v>
      </c>
      <c r="C32" s="9">
        <v>2</v>
      </c>
      <c r="D32" s="9"/>
      <c r="E32" s="9"/>
      <c r="F32" s="9"/>
      <c r="G32" s="9"/>
      <c r="H32" s="9"/>
    </row>
    <row r="33" spans="1:8" x14ac:dyDescent="0.25">
      <c r="A33" s="6" t="s">
        <v>40</v>
      </c>
      <c r="B33" s="11">
        <v>3415.98</v>
      </c>
      <c r="C33" s="11">
        <v>1010.34</v>
      </c>
      <c r="D33" s="11"/>
      <c r="E33" s="11"/>
      <c r="F33" s="11"/>
      <c r="G33" s="11"/>
      <c r="H33" s="11"/>
    </row>
    <row r="34" spans="1:8" x14ac:dyDescent="0.25">
      <c r="A34" s="6" t="s">
        <v>41</v>
      </c>
      <c r="B34" s="9">
        <v>2</v>
      </c>
      <c r="C34" s="9">
        <v>0</v>
      </c>
      <c r="D34" s="9"/>
      <c r="E34" s="9"/>
      <c r="F34" s="9"/>
      <c r="G34" s="9"/>
      <c r="H34" s="9"/>
    </row>
    <row r="35" spans="1:8" x14ac:dyDescent="0.25">
      <c r="A35" s="6" t="s">
        <v>42</v>
      </c>
      <c r="B35" s="11">
        <v>922.68</v>
      </c>
      <c r="C35" s="11">
        <v>0</v>
      </c>
      <c r="D35" s="11"/>
      <c r="E35" s="11"/>
      <c r="F35" s="11"/>
      <c r="G35" s="11"/>
      <c r="H35" s="11"/>
    </row>
    <row r="36" spans="1:8" x14ac:dyDescent="0.25">
      <c r="A36" s="6" t="s">
        <v>43</v>
      </c>
      <c r="B36" s="9">
        <v>5</v>
      </c>
      <c r="C36" s="9">
        <v>2</v>
      </c>
      <c r="D36" s="9"/>
      <c r="E36" s="9"/>
      <c r="F36" s="9"/>
      <c r="G36" s="9"/>
      <c r="H36" s="9"/>
    </row>
    <row r="37" spans="1:8" x14ac:dyDescent="0.25">
      <c r="A37" s="6" t="s">
        <v>44</v>
      </c>
      <c r="B37" s="11">
        <v>2493.3</v>
      </c>
      <c r="C37" s="11">
        <v>1010.34</v>
      </c>
      <c r="D37" s="11"/>
      <c r="E37" s="11"/>
      <c r="F37" s="11"/>
      <c r="G37" s="11"/>
      <c r="H37" s="11"/>
    </row>
    <row r="38" spans="1:8" x14ac:dyDescent="0.25">
      <c r="A38" s="6" t="s">
        <v>45</v>
      </c>
      <c r="B38" s="9">
        <v>5</v>
      </c>
      <c r="C38" s="9">
        <v>2</v>
      </c>
      <c r="D38" s="9"/>
      <c r="E38" s="9"/>
      <c r="F38" s="9"/>
      <c r="G38" s="9"/>
      <c r="H38" s="9"/>
    </row>
    <row r="39" spans="1:8" x14ac:dyDescent="0.25">
      <c r="A39" s="6" t="s">
        <v>46</v>
      </c>
      <c r="B39" s="9">
        <v>2</v>
      </c>
      <c r="C39" s="9">
        <v>0</v>
      </c>
      <c r="D39" s="9"/>
      <c r="E39" s="9"/>
      <c r="F39" s="9"/>
      <c r="G39" s="9"/>
      <c r="H39" s="9"/>
    </row>
    <row r="40" spans="1:8" x14ac:dyDescent="0.25">
      <c r="A40" s="6" t="s">
        <v>47</v>
      </c>
      <c r="B40" s="9">
        <v>4</v>
      </c>
      <c r="C40" s="9">
        <v>2</v>
      </c>
      <c r="D40" s="9"/>
      <c r="E40" s="9"/>
      <c r="F40" s="9"/>
      <c r="G40" s="9"/>
      <c r="H40" s="9"/>
    </row>
    <row r="41" spans="1:8" x14ac:dyDescent="0.25">
      <c r="A41" s="6" t="s">
        <v>48</v>
      </c>
      <c r="B41" s="9">
        <v>4</v>
      </c>
      <c r="C41" s="9">
        <v>1</v>
      </c>
      <c r="D41" s="9"/>
      <c r="E41" s="9"/>
      <c r="F41" s="9"/>
      <c r="G41" s="9"/>
      <c r="H41" s="9"/>
    </row>
    <row r="42" spans="1:8" x14ac:dyDescent="0.25">
      <c r="A42" s="6" t="s">
        <v>49</v>
      </c>
      <c r="B42" s="9"/>
      <c r="C42" s="9">
        <v>0</v>
      </c>
      <c r="D42" s="9"/>
      <c r="E42" s="9"/>
      <c r="F42" s="9"/>
      <c r="G42" s="9"/>
      <c r="H42" s="9"/>
    </row>
    <row r="43" spans="1:8" x14ac:dyDescent="0.25">
      <c r="A43" s="6" t="s">
        <v>50</v>
      </c>
      <c r="B43" s="10">
        <f t="shared" ref="B43:H43" si="9">IF(B32="","",B32-IF(B42="",0,B42))</f>
        <v>7</v>
      </c>
      <c r="C43" s="10">
        <f t="shared" si="9"/>
        <v>2</v>
      </c>
      <c r="D43" s="10">
        <f t="shared" si="9"/>
      </c>
      <c r="E43" s="10">
        <f t="shared" si="9"/>
      </c>
      <c r="F43" s="10">
        <f t="shared" si="9"/>
      </c>
      <c r="G43" s="10">
        <f t="shared" si="9"/>
      </c>
      <c r="H43" s="10">
        <f t="shared" si="9"/>
      </c>
    </row>
    <row r="44" ht="18" customHeight="1" spans="1:8" x14ac:dyDescent="0.25">
      <c r="A44" s="5" t="s">
        <v>51</v>
      </c>
      <c r="B44" s="5"/>
      <c r="C44" s="5"/>
      <c r="D44" s="5"/>
      <c r="E44" s="5"/>
      <c r="F44" s="5"/>
      <c r="G44" s="5"/>
      <c r="H44" s="5"/>
    </row>
    <row r="45" spans="1:8" x14ac:dyDescent="0.25">
      <c r="A45" s="6" t="s">
        <v>52</v>
      </c>
      <c r="B45" s="9">
        <v>15</v>
      </c>
      <c r="C45" s="9">
        <v>0</v>
      </c>
      <c r="D45" s="9">
        <v>3</v>
      </c>
      <c r="E45" s="9"/>
      <c r="F45" s="9"/>
      <c r="G45" s="9"/>
      <c r="H45" s="9"/>
    </row>
    <row r="46" spans="1:8" x14ac:dyDescent="0.25">
      <c r="A46" s="6" t="s">
        <v>53</v>
      </c>
      <c r="B46" s="11">
        <v>112.48</v>
      </c>
      <c r="C46" s="11">
        <v>0</v>
      </c>
      <c r="D46" s="11">
        <v>24.06</v>
      </c>
      <c r="E46" s="11"/>
      <c r="F46" s="11"/>
      <c r="G46" s="11"/>
      <c r="H46" s="11"/>
    </row>
    <row r="47" spans="1:8" x14ac:dyDescent="0.25">
      <c r="A47" s="6" t="s">
        <v>54</v>
      </c>
      <c r="B47" s="9">
        <v>21</v>
      </c>
      <c r="C47" s="9">
        <v>5</v>
      </c>
      <c r="D47" s="9">
        <v>1</v>
      </c>
      <c r="E47" s="9"/>
      <c r="F47" s="9"/>
      <c r="G47" s="9"/>
      <c r="H47" s="9"/>
    </row>
    <row r="48" spans="1:8" x14ac:dyDescent="0.25">
      <c r="A48" s="6" t="s">
        <v>55</v>
      </c>
      <c r="B48" s="11">
        <v>157.46</v>
      </c>
      <c r="C48" s="11">
        <v>37.8</v>
      </c>
      <c r="D48" s="11">
        <v>7.44</v>
      </c>
      <c r="E48" s="11"/>
      <c r="F48" s="11"/>
      <c r="G48" s="11"/>
      <c r="H48" s="11"/>
    </row>
    <row r="49" spans="1:8" x14ac:dyDescent="0.25">
      <c r="A49" s="6" t="s">
        <v>56</v>
      </c>
      <c r="B49" s="10">
        <f t="shared" ref="B49:H50" si="10">B45+B47</f>
        <v>36</v>
      </c>
      <c r="C49" s="10">
        <f t="shared" si="10"/>
        <v>5</v>
      </c>
      <c r="D49" s="10">
        <f t="shared" si="10"/>
        <v>0</v>
      </c>
      <c r="E49" s="10">
        <f t="shared" si="10"/>
        <v>0</v>
      </c>
      <c r="F49" s="10">
        <f t="shared" si="10"/>
        <v>0</v>
      </c>
      <c r="G49" s="10">
        <f t="shared" si="10"/>
        <v>0</v>
      </c>
      <c r="H49" s="10">
        <f t="shared" si="10"/>
        <v>0</v>
      </c>
    </row>
    <row r="50" spans="1:8" x14ac:dyDescent="0.25">
      <c r="A50" s="6" t="s">
        <v>57</v>
      </c>
      <c r="B50" s="12">
        <f t="shared" si="10"/>
        <v>269.94</v>
      </c>
      <c r="C50" s="12">
        <f t="shared" si="10"/>
        <v>37.8</v>
      </c>
      <c r="D50" s="12">
        <f t="shared" si="10"/>
        <v>0</v>
      </c>
      <c r="E50" s="12">
        <f t="shared" si="10"/>
        <v>0</v>
      </c>
      <c r="F50" s="12">
        <f t="shared" si="10"/>
        <v>0</v>
      </c>
      <c r="G50" s="12">
        <f t="shared" si="10"/>
        <v>0</v>
      </c>
      <c r="H50" s="12">
        <f t="shared" si="10"/>
        <v>0</v>
      </c>
    </row>
    <row r="51" ht="18" customHeight="1" spans="1:8" x14ac:dyDescent="0.25">
      <c r="A51" s="5" t="s">
        <v>58</v>
      </c>
      <c r="B51" s="5"/>
      <c r="C51" s="5"/>
      <c r="D51" s="5"/>
      <c r="E51" s="5"/>
      <c r="F51" s="5"/>
      <c r="G51" s="5"/>
      <c r="H51" s="5"/>
    </row>
    <row r="52" spans="1:8" x14ac:dyDescent="0.25">
      <c r="A52" s="6" t="s">
        <v>59</v>
      </c>
      <c r="B52" s="12">
        <f t="shared" ref="B52:H52" si="11">N(B35)+N(B46)</f>
        <v>1035.1599999999999</v>
      </c>
      <c r="C52" s="12">
        <f t="shared" si="11"/>
        <v>0</v>
      </c>
      <c r="D52" s="12">
        <f t="shared" si="11"/>
        <v>0</v>
      </c>
      <c r="E52" s="12">
        <f t="shared" si="11"/>
        <v>0</v>
      </c>
      <c r="F52" s="12">
        <f t="shared" si="11"/>
        <v>0</v>
      </c>
      <c r="G52" s="12">
        <f t="shared" si="11"/>
        <v>0</v>
      </c>
      <c r="H52" s="12">
        <f t="shared" si="11"/>
        <v>0</v>
      </c>
    </row>
    <row r="53" spans="1:8" x14ac:dyDescent="0.25">
      <c r="A53" s="6" t="s">
        <v>60</v>
      </c>
      <c r="B53" s="12">
        <f t="shared" ref="B53:H53" si="12">N(B37)+N(B48)</f>
        <v>2650.76</v>
      </c>
      <c r="C53" s="12">
        <f t="shared" si="12"/>
        <v>1048.14</v>
      </c>
      <c r="D53" s="12">
        <f t="shared" si="12"/>
        <v>0</v>
      </c>
      <c r="E53" s="12">
        <f t="shared" si="12"/>
        <v>0</v>
      </c>
      <c r="F53" s="12">
        <f t="shared" si="12"/>
        <v>0</v>
      </c>
      <c r="G53" s="12">
        <f t="shared" si="12"/>
        <v>0</v>
      </c>
      <c r="H53" s="12">
        <f t="shared" si="12"/>
        <v>0</v>
      </c>
    </row>
    <row r="54" spans="1:8" x14ac:dyDescent="0.25">
      <c r="A54" s="6" t="s">
        <v>61</v>
      </c>
      <c r="B54" s="12">
        <f t="shared" ref="B54:H54" si="13">N(B33)+N(B50)</f>
        <v>3685.92</v>
      </c>
      <c r="C54" s="12">
        <f t="shared" si="13"/>
        <v>1048.14</v>
      </c>
      <c r="D54" s="12">
        <f t="shared" si="13"/>
        <v>0</v>
      </c>
      <c r="E54" s="12">
        <f t="shared" si="13"/>
        <v>0</v>
      </c>
      <c r="F54" s="12">
        <f t="shared" si="13"/>
        <v>0</v>
      </c>
      <c r="G54" s="12">
        <f t="shared" si="13"/>
        <v>0</v>
      </c>
      <c r="H54" s="12">
        <f t="shared" si="13"/>
        <v>0</v>
      </c>
    </row>
    <row r="55" spans="1:8" x14ac:dyDescent="0.25">
      <c r="A55" s="6" t="s">
        <v>62</v>
      </c>
      <c r="B55" s="12">
        <f t="shared" ref="B55:H55" si="14">IF(OR(B32="",B32=0),"",B33/B32)</f>
        <v>487.9971428571429</v>
      </c>
      <c r="C55" s="12">
        <f t="shared" si="14"/>
        <v>505.17</v>
      </c>
      <c r="D55" s="12">
        <f t="shared" si="14"/>
      </c>
      <c r="E55" s="12">
        <f t="shared" si="14"/>
      </c>
      <c r="F55" s="12">
        <f t="shared" si="14"/>
      </c>
      <c r="G55" s="12">
        <f t="shared" si="14"/>
      </c>
      <c r="H55" s="12">
        <f t="shared" si="14"/>
      </c>
    </row>
    <row r="56" spans="1:8" x14ac:dyDescent="0.25">
      <c r="A56" s="6" t="s">
        <v>63</v>
      </c>
      <c r="B56" s="13">
        <f t="shared" ref="B56:H56" si="15">IF(OR(B32="",B12=0),"",B32/B12)</f>
        <v>0.020114942528735632</v>
      </c>
      <c r="C56" s="13">
        <f t="shared" si="15"/>
        <v>0.013333333333333334</v>
      </c>
      <c r="D56" s="13">
        <f t="shared" si="15"/>
      </c>
      <c r="E56" s="13">
        <f t="shared" si="15"/>
      </c>
      <c r="F56" s="13">
        <f t="shared" si="15"/>
      </c>
      <c r="G56" s="13">
        <f t="shared" si="15"/>
      </c>
      <c r="H56" s="13">
        <f t="shared" si="15"/>
      </c>
    </row>
    <row r="57" spans="1:8" x14ac:dyDescent="0.25">
      <c r="A57" s="6" t="s">
        <v>64</v>
      </c>
      <c r="B57" s="13">
        <f t="shared" ref="B57:H57" si="16">IF(OR(B32="",B25=0),"",B32/B25)</f>
        <v>0.04964539007092199</v>
      </c>
      <c r="C57" s="13">
        <f t="shared" si="16"/>
        <v>0.0425531914893617</v>
      </c>
      <c r="D57" s="13">
        <f t="shared" si="16"/>
      </c>
      <c r="E57" s="13">
        <f t="shared" si="16"/>
      </c>
      <c r="F57" s="13">
        <f t="shared" si="16"/>
      </c>
      <c r="G57" s="13">
        <f t="shared" si="16"/>
      </c>
      <c r="H57" s="13">
        <f t="shared" si="16"/>
      </c>
    </row>
    <row r="58" spans="1:8" x14ac:dyDescent="0.25">
      <c r="A58" s="6" t="s">
        <v>65</v>
      </c>
      <c r="B58" s="13">
        <f t="shared" ref="B58:H58" si="17">IF(OR(B32="",B28=0),"",B32/B28)</f>
        <v>0.06363636363636363</v>
      </c>
      <c r="C58" s="13">
        <f t="shared" si="17"/>
        <v>0.05714285714285714</v>
      </c>
      <c r="D58" s="13">
        <f t="shared" si="17"/>
      </c>
      <c r="E58" s="13">
        <f t="shared" si="17"/>
      </c>
      <c r="F58" s="13">
        <f t="shared" si="17"/>
      </c>
      <c r="G58" s="13">
        <f t="shared" si="17"/>
      </c>
      <c r="H58" s="13">
        <f t="shared" si="17"/>
      </c>
    </row>
    <row r="59" spans="1:8" x14ac:dyDescent="0.25">
      <c r="A59" s="6" t="s">
        <v>66</v>
      </c>
      <c r="B59" s="14">
        <f t="shared" ref="B59:H59" si="18">IF(OR(B34="",B13="",B13=0),"",B52/B13)</f>
        <v>0.9204367619860575</v>
      </c>
      <c r="C59" s="14">
        <f t="shared" si="18"/>
        <v>0</v>
      </c>
      <c r="D59" s="14">
        <f t="shared" si="18"/>
      </c>
      <c r="E59" s="14">
        <f t="shared" si="18"/>
      </c>
      <c r="F59" s="14">
        <f t="shared" si="18"/>
      </c>
      <c r="G59" s="14">
        <f t="shared" si="18"/>
      </c>
      <c r="H59" s="14">
        <f t="shared" si="18"/>
      </c>
    </row>
    <row r="60" spans="1:8" x14ac:dyDescent="0.25">
      <c r="A60" s="6" t="s">
        <v>67</v>
      </c>
      <c r="B60" s="14">
        <f t="shared" ref="B60:H60" si="19">IF(OR(B33="",B13="",B13=0),"",B54/B13)</f>
        <v>3.2774221084080235</v>
      </c>
      <c r="C60" s="14">
        <f t="shared" si="19"/>
        <v>1.9579690652320108</v>
      </c>
      <c r="D60" s="14">
        <f t="shared" si="19"/>
      </c>
      <c r="E60" s="14">
        <f t="shared" si="19"/>
      </c>
      <c r="F60" s="14">
        <f t="shared" si="19"/>
      </c>
      <c r="G60" s="14">
        <f t="shared" si="19"/>
      </c>
      <c r="H60" s="14">
        <f t="shared" si="19"/>
      </c>
    </row>
    <row r="61" spans="1:8" x14ac:dyDescent="0.25">
      <c r="A61" s="6" t="s">
        <v>68</v>
      </c>
      <c r="B61" s="12">
        <f t="shared" ref="B61:H61" si="20">IF(OR(B34="",B34=0,B13=""),"",B13/B34)</f>
        <v>562.32</v>
      </c>
      <c r="C61" s="12">
        <f t="shared" si="20"/>
      </c>
      <c r="D61" s="12">
        <f t="shared" si="20"/>
      </c>
      <c r="E61" s="12">
        <f t="shared" si="20"/>
      </c>
      <c r="F61" s="12">
        <f t="shared" si="20"/>
      </c>
      <c r="G61" s="12">
        <f t="shared" si="20"/>
      </c>
      <c r="H61" s="12">
        <f t="shared" si="20"/>
      </c>
    </row>
    <row r="62" spans="1:8" x14ac:dyDescent="0.25">
      <c r="A62" s="6" t="s">
        <v>69</v>
      </c>
      <c r="B62" s="12">
        <f t="shared" ref="B62:H62" si="21">IF(OR(B33="",B13=""),"",B54-B13)</f>
        <v>2561.2799999999997</v>
      </c>
      <c r="C62" s="12">
        <f t="shared" si="21"/>
        <v>512.82</v>
      </c>
      <c r="D62" s="12">
        <f t="shared" si="21"/>
      </c>
      <c r="E62" s="12">
        <f t="shared" si="21"/>
      </c>
      <c r="F62" s="12">
        <f t="shared" si="21"/>
      </c>
      <c r="G62" s="12">
        <f t="shared" si="21"/>
      </c>
      <c r="H62" s="12">
        <f t="shared" si="21"/>
      </c>
    </row>
    <row r="63" ht="18" customHeight="1" spans="1:8" x14ac:dyDescent="0.25">
      <c r="A63" s="5" t="s">
        <v>70</v>
      </c>
      <c r="B63" s="5"/>
      <c r="C63" s="5"/>
      <c r="D63" s="5"/>
      <c r="E63" s="5"/>
      <c r="F63" s="5"/>
      <c r="G63" s="5"/>
      <c r="H63" s="5"/>
    </row>
    <row r="64" spans="1:8" x14ac:dyDescent="0.25">
      <c r="A64" s="6" t="s">
        <v>71</v>
      </c>
      <c r="B64" s="9">
        <v>81</v>
      </c>
      <c r="C64" s="9">
        <v>28</v>
      </c>
      <c r="D64" s="9">
        <v>19</v>
      </c>
      <c r="E64" s="9"/>
      <c r="F64" s="9"/>
      <c r="G64" s="9"/>
      <c r="H64" s="9"/>
    </row>
    <row r="65" spans="1:8" x14ac:dyDescent="0.25">
      <c r="A65" s="6" t="s">
        <v>72</v>
      </c>
      <c r="B65" s="9">
        <v>72</v>
      </c>
      <c r="C65" s="9">
        <v>2</v>
      </c>
      <c r="D65" s="9">
        <v>10</v>
      </c>
      <c r="E65" s="9"/>
      <c r="F65" s="9"/>
      <c r="G65" s="9"/>
      <c r="H65" s="9"/>
    </row>
    <row r="66" spans="1:8" x14ac:dyDescent="0.25">
      <c r="A66" s="6" t="s">
        <v>73</v>
      </c>
      <c r="B66" s="13">
        <f t="shared" ref="B66:H67" si="22">IF(OR(B64="",B9=0),"",B64/B9)</f>
        <v>0.4909090909090909</v>
      </c>
      <c r="C66" s="13">
        <f t="shared" si="22"/>
        <v>0.34146341463414637</v>
      </c>
      <c r="D66" s="13">
        <f t="shared" si="22"/>
      </c>
      <c r="E66" s="13">
        <f t="shared" si="22"/>
      </c>
      <c r="F66" s="13">
        <f t="shared" si="22"/>
      </c>
      <c r="G66" s="13">
        <f t="shared" si="22"/>
      </c>
      <c r="H66" s="13">
        <f t="shared" si="22"/>
      </c>
    </row>
    <row r="67" spans="1:8" x14ac:dyDescent="0.25">
      <c r="A67" s="6" t="s">
        <v>74</v>
      </c>
      <c r="B67" s="13">
        <f t="shared" si="22"/>
        <v>0.375</v>
      </c>
      <c r="C67" s="13">
        <f t="shared" si="22"/>
        <v>0.028169014084507043</v>
      </c>
      <c r="D67" s="13">
        <f t="shared" si="22"/>
      </c>
      <c r="E67" s="13">
        <f t="shared" si="22"/>
      </c>
      <c r="F67" s="13">
        <f t="shared" si="22"/>
      </c>
      <c r="G67" s="13">
        <f t="shared" si="22"/>
      </c>
      <c r="H67" s="13">
        <f t="shared" si="22"/>
      </c>
    </row>
    <row r="68" ht="18" customHeight="1" spans="1:8" x14ac:dyDescent="0.25">
      <c r="A68" s="5" t="s">
        <v>75</v>
      </c>
      <c r="B68" s="5"/>
      <c r="C68" s="5"/>
      <c r="D68" s="5"/>
      <c r="E68" s="5"/>
      <c r="F68" s="5"/>
      <c r="G68" s="5"/>
      <c r="H68" s="5"/>
    </row>
    <row r="69" spans="1:8" x14ac:dyDescent="0.25">
      <c r="A69" s="6" t="s">
        <v>76</v>
      </c>
      <c r="B69" s="7" t="s">
        <v>77</v>
      </c>
      <c r="C69" s="7"/>
      <c r="D69" s="7"/>
      <c r="E69" s="7"/>
      <c r="F69" s="7"/>
      <c r="G69" s="7"/>
      <c r="H69" s="7"/>
    </row>
    <row r="70" spans="1:8" x14ac:dyDescent="0.25">
      <c r="A70" s="6" t="s">
        <v>78</v>
      </c>
      <c r="B70" s="7" t="s">
        <v>79</v>
      </c>
      <c r="C70" s="7"/>
      <c r="D70" s="7"/>
      <c r="E70" s="7"/>
      <c r="F70" s="7"/>
      <c r="G70" s="7"/>
      <c r="H70" s="7"/>
    </row>
    <row r="71" ht="18" customHeight="1" spans="1:8" x14ac:dyDescent="0.25">
      <c r="A71" s="5" t="s">
        <v>80</v>
      </c>
      <c r="B71" s="5"/>
      <c r="C71" s="5"/>
      <c r="D71" s="5"/>
      <c r="E71" s="5"/>
      <c r="F71" s="5"/>
      <c r="G71" s="5"/>
      <c r="H71" s="5"/>
    </row>
    <row r="72" spans="1:3" x14ac:dyDescent="0.25">
      <c r="A72" s="6" t="s">
        <v>81</v>
      </c>
      <c r="B72" s="9">
        <v>37</v>
      </c>
      <c r="C72">
        <v>12</v>
      </c>
    </row>
    <row r="73" spans="1:3" x14ac:dyDescent="0.25">
      <c r="A73" s="6" t="s">
        <v>82</v>
      </c>
      <c r="B73" s="9">
        <v>7</v>
      </c>
      <c r="C73">
        <v>1</v>
      </c>
    </row>
    <row r="74" spans="1:4" x14ac:dyDescent="0.25">
      <c r="A74" s="6" t="s">
        <v>83</v>
      </c>
      <c r="B74" s="13">
        <f>IF(OR(B72="",B72=0),"",B73/B72)</f>
        <v>0.1891891891891892</v>
      </c>
      <c r="C74" s="15">
        <f>IF(OR(C72="",C72=0),"",C73/C72)</f>
        <v>0.08333333333333333</v>
      </c>
      <c r="D74" s="15">
        <f>IF(OR(D72="",D72=0),"",D73/D72)</f>
      </c>
    </row>
    <row r="75" ht="42" customHeight="1" spans="1:8" x14ac:dyDescent="0.25">
      <c r="A75" s="16" t="s">
        <v>84</v>
      </c>
      <c r="B75" s="16"/>
      <c r="C75" s="16"/>
      <c r="D75" s="16"/>
      <c r="E75" s="16"/>
      <c r="F75" s="16"/>
      <c r="G75" s="16"/>
      <c r="H75" s="16"/>
    </row>
    <row r="77" spans="1:8" x14ac:dyDescent="0.25">
      <c r="A77" s="2" t="s">
        <v>85</v>
      </c>
      <c r="B77" s="2"/>
      <c r="C77" s="2"/>
      <c r="D77" s="2"/>
      <c r="E77" s="2"/>
      <c r="F77" s="2"/>
      <c r="G77" s="2"/>
      <c r="H77" s="2"/>
    </row>
    <row r="78" spans="1:8" x14ac:dyDescent="0.25">
      <c r="A78" s="2" t="s">
        <v>86</v>
      </c>
      <c r="B78" s="2"/>
      <c r="C78" s="2"/>
      <c r="D78" s="2"/>
      <c r="E78" s="2"/>
      <c r="F78" s="2"/>
      <c r="G78" s="2"/>
      <c r="H78" s="2"/>
    </row>
    <row r="79" spans="1:8" x14ac:dyDescent="0.25">
      <c r="A79" s="2" t="s">
        <v>87</v>
      </c>
      <c r="B79" s="2"/>
      <c r="C79" s="2"/>
      <c r="D79" s="2"/>
      <c r="E79" s="2"/>
      <c r="F79" s="2"/>
      <c r="G79" s="2"/>
      <c r="H79" s="2"/>
    </row>
    <row r="80" spans="1:8" x14ac:dyDescent="0.25">
      <c r="A80" s="2" t="s">
        <v>88</v>
      </c>
      <c r="B80" s="2"/>
      <c r="C80" s="2"/>
      <c r="D80" s="2"/>
      <c r="E80" s="2"/>
      <c r="F80" s="2"/>
      <c r="G80" s="2"/>
      <c r="H80" s="2"/>
    </row>
    <row r="81" spans="1:8" x14ac:dyDescent="0.25">
      <c r="A81" s="2" t="s">
        <v>89</v>
      </c>
      <c r="B81" s="2"/>
      <c r="C81" s="2"/>
      <c r="D81" s="2"/>
      <c r="E81" s="2"/>
      <c r="F81" s="2"/>
      <c r="G81" s="2"/>
      <c r="H81" s="2"/>
    </row>
    <row r="82" ht="60" customHeight="1" spans="1:8" x14ac:dyDescent="0.25">
      <c r="A82" s="2" t="s">
        <v>90</v>
      </c>
      <c r="B82" s="2"/>
      <c r="C82" s="2"/>
      <c r="D82" s="2"/>
      <c r="E82" s="2"/>
      <c r="F82" s="2"/>
      <c r="G82" s="2"/>
      <c r="H82" s="2"/>
    </row>
    <row r="84" spans="1:1" x14ac:dyDescent="0.25">
      <c r="A84" s="17" t="s">
        <v>91</v>
      </c>
    </row>
    <row r="85" spans="1:3" x14ac:dyDescent="0.25">
      <c r="A85" t="s">
        <v>92</v>
      </c>
      <c r="C85">
        <v>1</v>
      </c>
    </row>
    <row r="86" spans="1:3" x14ac:dyDescent="0.25">
      <c r="A86" t="s">
        <v>93</v>
      </c>
      <c r="C86" s="18">
        <v>81.51</v>
      </c>
    </row>
    <row r="87" spans="1:1" x14ac:dyDescent="0.25">
      <c r="A87" s="19" t="s">
        <v>94</v>
      </c>
    </row>
  </sheetData>
  <mergeCells count="19">
    <mergeCell ref="A1:H1"/>
    <mergeCell ref="A2:H2"/>
    <mergeCell ref="A4:H4"/>
    <mergeCell ref="A8:H8"/>
    <mergeCell ref="A15:H15"/>
    <mergeCell ref="A24:H24"/>
    <mergeCell ref="A31:H31"/>
    <mergeCell ref="A44:H44"/>
    <mergeCell ref="A51:H51"/>
    <mergeCell ref="A63:H63"/>
    <mergeCell ref="A68:H68"/>
    <mergeCell ref="A71:H71"/>
    <mergeCell ref="A75:H75"/>
    <mergeCell ref="A77:H77"/>
    <mergeCell ref="A78:H78"/>
    <mergeCell ref="A79:H79"/>
    <mergeCell ref="A80:H80"/>
    <mergeCell ref="A81:H81"/>
    <mergeCell ref="A82:H8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26" customWidth="1"/>
    <col min="2" max="2" width="40" customWidth="1"/>
    <col min="3" max="3" width="11" customWidth="1"/>
    <col min="4" max="10" width="13" customWidth="1"/>
  </cols>
  <sheetData>
    <row r="1" ht="24" customHeight="1" spans="1:10" x14ac:dyDescent="0.25">
      <c r="A1" s="20" t="s">
        <v>95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97</v>
      </c>
      <c r="B3" s="3" t="s">
        <v>98</v>
      </c>
      <c r="C3" s="21" t="s">
        <v>99</v>
      </c>
      <c r="D3" s="21" t="s">
        <v>100</v>
      </c>
      <c r="E3" s="21" t="s">
        <v>101</v>
      </c>
      <c r="F3" s="21" t="s">
        <v>102</v>
      </c>
      <c r="G3" s="21" t="s">
        <v>103</v>
      </c>
      <c r="H3" s="21" t="s">
        <v>104</v>
      </c>
      <c r="I3" s="21" t="s">
        <v>105</v>
      </c>
      <c r="J3" s="21" t="s">
        <v>106</v>
      </c>
    </row>
    <row r="4" spans="1:10" x14ac:dyDescent="0.25">
      <c r="A4" s="22" t="s">
        <v>107</v>
      </c>
      <c r="B4" s="23" t="s">
        <v>108</v>
      </c>
      <c r="C4" s="7" t="s">
        <v>109</v>
      </c>
      <c r="D4" s="9">
        <v>332</v>
      </c>
      <c r="E4" s="9">
        <v>202</v>
      </c>
      <c r="F4" s="24">
        <f t="shared" ref="F4:F10" si="0">IF(OR(D4="",D4=0),"",E4/D4)</f>
        <v>0.608433734939759</v>
      </c>
      <c r="G4" s="9">
        <v>36</v>
      </c>
      <c r="H4" s="24">
        <f t="shared" ref="H4:H10" si="1">IF(OR(D4="",D4=0),"",G4/D4)</f>
        <v>0.10843373493975904</v>
      </c>
      <c r="I4" s="9">
        <v>4</v>
      </c>
      <c r="J4" s="9"/>
    </row>
    <row r="5" spans="1:10" x14ac:dyDescent="0.25">
      <c r="A5" s="22" t="s">
        <v>110</v>
      </c>
      <c r="B5" s="23" t="s">
        <v>111</v>
      </c>
      <c r="C5" s="7" t="s">
        <v>112</v>
      </c>
      <c r="D5" s="9">
        <v>327</v>
      </c>
      <c r="E5" s="9">
        <v>157</v>
      </c>
      <c r="F5" s="24">
        <f t="shared" si="0"/>
        <v>0.4801223241590214</v>
      </c>
      <c r="G5" s="9">
        <v>12</v>
      </c>
      <c r="H5" s="24">
        <f t="shared" si="1"/>
        <v>0.03669724770642202</v>
      </c>
      <c r="I5" s="9">
        <v>9</v>
      </c>
      <c r="J5" s="9"/>
    </row>
    <row r="6" spans="1:10" x14ac:dyDescent="0.25">
      <c r="A6" s="22" t="s">
        <v>113</v>
      </c>
      <c r="B6" s="23" t="s">
        <v>114</v>
      </c>
      <c r="C6" s="7" t="s">
        <v>112</v>
      </c>
      <c r="D6" s="9">
        <v>314</v>
      </c>
      <c r="E6" s="9">
        <v>138</v>
      </c>
      <c r="F6" s="24">
        <f t="shared" si="0"/>
        <v>0.4394904458598726</v>
      </c>
      <c r="G6" s="9">
        <v>13</v>
      </c>
      <c r="H6" s="24">
        <f t="shared" si="1"/>
        <v>0.041401273885350316</v>
      </c>
      <c r="I6" s="9">
        <v>3</v>
      </c>
      <c r="J6" s="9"/>
    </row>
    <row r="7" spans="1:10" x14ac:dyDescent="0.25">
      <c r="A7" s="22" t="s">
        <v>115</v>
      </c>
      <c r="B7" s="23" t="s">
        <v>116</v>
      </c>
      <c r="C7" s="7" t="s">
        <v>117</v>
      </c>
      <c r="D7" s="9">
        <v>306</v>
      </c>
      <c r="E7" s="9">
        <v>140</v>
      </c>
      <c r="F7" s="24">
        <f t="shared" si="0"/>
        <v>0.45751633986928103</v>
      </c>
      <c r="G7" s="9">
        <v>6</v>
      </c>
      <c r="H7" s="24">
        <f t="shared" si="1"/>
        <v>0.0196078431372549</v>
      </c>
      <c r="I7" s="9">
        <v>5</v>
      </c>
      <c r="J7" s="9"/>
    </row>
    <row r="8" spans="1:10" x14ac:dyDescent="0.25">
      <c r="A8" s="22" t="s">
        <v>118</v>
      </c>
      <c r="B8" s="23" t="s">
        <v>119</v>
      </c>
      <c r="C8" s="7" t="s">
        <v>120</v>
      </c>
      <c r="D8" s="9">
        <v>302</v>
      </c>
      <c r="E8" s="9">
        <v>144</v>
      </c>
      <c r="F8" s="24">
        <f t="shared" si="0"/>
        <v>0.4768211920529801</v>
      </c>
      <c r="G8" s="9">
        <v>10</v>
      </c>
      <c r="H8" s="24">
        <f t="shared" si="1"/>
        <v>0.033112582781456956</v>
      </c>
      <c r="I8" s="9">
        <v>3</v>
      </c>
      <c r="J8" s="9"/>
    </row>
    <row r="9" spans="1:10" x14ac:dyDescent="0.25">
      <c r="A9" s="22" t="s">
        <v>121</v>
      </c>
      <c r="B9" s="23" t="s">
        <v>122</v>
      </c>
      <c r="C9" s="7" t="s">
        <v>123</v>
      </c>
      <c r="D9" s="9">
        <v>295</v>
      </c>
      <c r="E9" s="9">
        <v>97</v>
      </c>
      <c r="F9" s="24">
        <f t="shared" si="0"/>
        <v>0.3288135593220339</v>
      </c>
      <c r="G9" s="9">
        <v>5</v>
      </c>
      <c r="H9" s="24">
        <f t="shared" si="1"/>
        <v>0.01694915254237288</v>
      </c>
      <c r="I9" s="9">
        <v>1</v>
      </c>
      <c r="J9" s="9"/>
    </row>
    <row r="10" spans="1:10" x14ac:dyDescent="0.25">
      <c r="A10" s="22" t="s">
        <v>124</v>
      </c>
      <c r="B10" s="23" t="s">
        <v>125</v>
      </c>
      <c r="C10" s="7" t="s">
        <v>123</v>
      </c>
      <c r="D10" s="9">
        <v>294</v>
      </c>
      <c r="E10" s="9">
        <v>86</v>
      </c>
      <c r="F10" s="24">
        <f t="shared" si="0"/>
        <v>0.2925170068027211</v>
      </c>
      <c r="G10" s="9">
        <v>7</v>
      </c>
      <c r="H10" s="24">
        <f t="shared" si="1"/>
        <v>0.023809523809523808</v>
      </c>
      <c r="I10" s="9">
        <v>2</v>
      </c>
      <c r="J10" s="9"/>
    </row>
    <row r="12" spans="1:9" x14ac:dyDescent="0.25">
      <c r="A12" s="22" t="s">
        <v>126</v>
      </c>
      <c r="I12" s="25">
        <f>SUM(I4:I10)</f>
        <v>27</v>
      </c>
    </row>
    <row r="13" spans="1:9" x14ac:dyDescent="0.25">
      <c r="A13" s="26" t="s">
        <v>127</v>
      </c>
      <c r="I13" s="27">
        <v>6</v>
      </c>
    </row>
    <row r="14" spans="1:10" x14ac:dyDescent="0.25">
      <c r="A14" s="2" t="s">
        <v>128</v>
      </c>
      <c r="B14" s="2"/>
      <c r="C14" s="2"/>
      <c r="D14" s="2"/>
      <c r="E14" s="2"/>
      <c r="F14" s="2"/>
      <c r="G14" s="2"/>
      <c r="H14" s="2"/>
      <c r="I14" s="2"/>
      <c r="J14" s="2"/>
    </row>
    <row r="16" ht="18.75" customHeight="1" spans="1:10" x14ac:dyDescent="0.25">
      <c r="A16" s="20" t="s">
        <v>129</v>
      </c>
      <c r="B16" s="20"/>
      <c r="C16" s="20"/>
      <c r="D16" s="20"/>
      <c r="E16" s="20"/>
      <c r="F16" s="20"/>
      <c r="G16" s="20"/>
      <c r="H16" s="20"/>
      <c r="I16" s="20"/>
      <c r="J16" s="20"/>
    </row>
    <row r="17" spans="1:10" x14ac:dyDescent="0.25">
      <c r="A17" s="16" t="s">
        <v>130</v>
      </c>
      <c r="B17" s="16"/>
      <c r="C17" s="16"/>
      <c r="D17" s="16"/>
      <c r="E17" s="16"/>
      <c r="F17" s="16"/>
      <c r="G17" s="16"/>
      <c r="H17" s="16"/>
      <c r="I17" s="16"/>
      <c r="J17" s="16"/>
    </row>
    <row r="18" ht="30" customHeight="1" spans="1:10" x14ac:dyDescent="0.25">
      <c r="A18" s="3" t="s">
        <v>97</v>
      </c>
      <c r="B18" s="3" t="s">
        <v>98</v>
      </c>
      <c r="C18" s="21" t="s">
        <v>99</v>
      </c>
      <c r="D18" s="21" t="s">
        <v>100</v>
      </c>
      <c r="E18" s="21" t="s">
        <v>101</v>
      </c>
      <c r="F18" s="21" t="s">
        <v>102</v>
      </c>
      <c r="G18" s="21" t="s">
        <v>103</v>
      </c>
      <c r="H18" s="21" t="s">
        <v>104</v>
      </c>
      <c r="I18" s="21" t="s">
        <v>105</v>
      </c>
      <c r="J18" s="21" t="s">
        <v>106</v>
      </c>
    </row>
    <row r="19" spans="1:9" x14ac:dyDescent="0.25">
      <c r="A19" t="s">
        <v>131</v>
      </c>
      <c r="B19" t="s">
        <v>132</v>
      </c>
      <c r="C19" t="s">
        <v>133</v>
      </c>
      <c r="D19">
        <v>145</v>
      </c>
      <c r="E19">
        <v>69</v>
      </c>
      <c r="F19" s="28">
        <f t="shared" ref="F19:F26" si="2">IF(OR(D19="",D19=0),"",E19/D19)</f>
        <v>0.47586206896551725</v>
      </c>
      <c r="G19">
        <v>10</v>
      </c>
      <c r="H19" s="28">
        <f t="shared" ref="H19:H26" si="3">IF(OR(D19="",D19=0),"",G19/D19)</f>
        <v>0.06896551724137931</v>
      </c>
      <c r="I19">
        <v>5</v>
      </c>
    </row>
    <row r="20" spans="1:9" x14ac:dyDescent="0.25">
      <c r="A20" t="s">
        <v>134</v>
      </c>
      <c r="B20" t="s">
        <v>135</v>
      </c>
      <c r="C20" t="s">
        <v>136</v>
      </c>
      <c r="D20">
        <v>141</v>
      </c>
      <c r="E20">
        <v>65</v>
      </c>
      <c r="F20" s="28">
        <f t="shared" si="2"/>
        <v>0.46099290780141844</v>
      </c>
      <c r="G20">
        <v>6</v>
      </c>
      <c r="H20" s="28">
        <f t="shared" si="3"/>
        <v>0.0425531914893617</v>
      </c>
      <c r="I20">
        <v>5</v>
      </c>
    </row>
    <row r="21" spans="1:9" x14ac:dyDescent="0.25">
      <c r="A21" t="s">
        <v>137</v>
      </c>
      <c r="B21" t="s">
        <v>138</v>
      </c>
      <c r="C21" t="s">
        <v>136</v>
      </c>
      <c r="D21">
        <v>136</v>
      </c>
      <c r="E21">
        <v>57</v>
      </c>
      <c r="F21" s="28">
        <f t="shared" si="2"/>
        <v>0.41911764705882354</v>
      </c>
      <c r="G21">
        <v>7</v>
      </c>
      <c r="H21" s="28">
        <f t="shared" si="3"/>
        <v>0.051470588235294115</v>
      </c>
      <c r="I21">
        <v>5</v>
      </c>
    </row>
    <row r="22" spans="1:9" x14ac:dyDescent="0.25">
      <c r="A22" t="s">
        <v>139</v>
      </c>
      <c r="B22" t="s">
        <v>140</v>
      </c>
      <c r="C22" t="s">
        <v>141</v>
      </c>
      <c r="D22">
        <v>130</v>
      </c>
      <c r="E22">
        <v>59</v>
      </c>
      <c r="F22" s="28">
        <f t="shared" si="2"/>
        <v>0.45384615384615384</v>
      </c>
      <c r="G22">
        <v>4</v>
      </c>
      <c r="H22" s="28">
        <f t="shared" si="3"/>
        <v>0.03076923076923077</v>
      </c>
      <c r="I22">
        <v>3</v>
      </c>
    </row>
    <row r="23" spans="1:10" x14ac:dyDescent="0.25">
      <c r="A23" t="s">
        <v>118</v>
      </c>
      <c r="B23" t="s">
        <v>142</v>
      </c>
      <c r="C23" t="s">
        <v>143</v>
      </c>
      <c r="D23">
        <v>122</v>
      </c>
      <c r="E23">
        <v>56</v>
      </c>
      <c r="F23" s="28">
        <f t="shared" si="2"/>
        <v>0.45901639344262296</v>
      </c>
      <c r="G23">
        <v>4</v>
      </c>
      <c r="H23" s="28">
        <f t="shared" si="3"/>
        <v>0.03278688524590164</v>
      </c>
      <c r="I23">
        <v>2</v>
      </c>
      <c r="J23">
        <v>1</v>
      </c>
    </row>
    <row r="24" spans="1:9" x14ac:dyDescent="0.25">
      <c r="A24" t="s">
        <v>121</v>
      </c>
      <c r="B24" t="s">
        <v>144</v>
      </c>
      <c r="C24" t="s">
        <v>145</v>
      </c>
      <c r="D24">
        <v>119</v>
      </c>
      <c r="E24">
        <v>39</v>
      </c>
      <c r="F24" s="28">
        <f t="shared" si="2"/>
        <v>0.3277310924369748</v>
      </c>
      <c r="G24">
        <v>6</v>
      </c>
      <c r="H24" s="28">
        <f t="shared" si="3"/>
        <v>0.05042016806722689</v>
      </c>
      <c r="I24">
        <v>3</v>
      </c>
    </row>
    <row r="25" spans="1:9" x14ac:dyDescent="0.25">
      <c r="A25" t="s">
        <v>146</v>
      </c>
      <c r="B25" t="s">
        <v>147</v>
      </c>
      <c r="C25" t="s">
        <v>145</v>
      </c>
      <c r="D25">
        <v>116</v>
      </c>
      <c r="E25">
        <v>44</v>
      </c>
      <c r="F25" s="28">
        <f t="shared" si="2"/>
        <v>0.3793103448275862</v>
      </c>
      <c r="G25">
        <v>3</v>
      </c>
      <c r="H25" s="28">
        <f t="shared" si="3"/>
        <v>0.02586206896551724</v>
      </c>
      <c r="I25">
        <v>0</v>
      </c>
    </row>
    <row r="26" spans="1:9" x14ac:dyDescent="0.25">
      <c r="A26" t="s">
        <v>148</v>
      </c>
      <c r="B26" t="s">
        <v>149</v>
      </c>
      <c r="C26" t="s">
        <v>145</v>
      </c>
      <c r="D26">
        <v>115</v>
      </c>
      <c r="E26">
        <v>35</v>
      </c>
      <c r="F26" s="28">
        <f t="shared" si="2"/>
        <v>0.30434782608695654</v>
      </c>
      <c r="G26">
        <v>1</v>
      </c>
      <c r="H26" s="28">
        <f t="shared" si="3"/>
        <v>0.008695652173913044</v>
      </c>
      <c r="I26">
        <v>0</v>
      </c>
    </row>
    <row r="28" spans="1:9" x14ac:dyDescent="0.25">
      <c r="A28" s="17" t="s">
        <v>126</v>
      </c>
      <c r="I28">
        <f>SUM(I19:I26)</f>
        <v>23</v>
      </c>
    </row>
    <row r="29" spans="1:9" x14ac:dyDescent="0.25">
      <c r="A29" s="17" t="s">
        <v>127</v>
      </c>
      <c r="I29">
        <v>10</v>
      </c>
    </row>
    <row r="31" ht="18.75" customHeight="1" spans="1:1" x14ac:dyDescent="0.25">
      <c r="A31" s="20"/>
    </row>
    <row r="32" spans="1:1" x14ac:dyDescent="0.25">
      <c r="A32" s="16"/>
    </row>
    <row r="33" spans="1:10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</row>
    <row r="34" spans="6:8" x14ac:dyDescent="0.25">
      <c r="F34" s="28"/>
      <c r="H34" s="28"/>
    </row>
    <row r="35" spans="6:8" x14ac:dyDescent="0.25">
      <c r="F35" s="28"/>
      <c r="H35" s="28"/>
    </row>
    <row r="36" spans="6:8" x14ac:dyDescent="0.25">
      <c r="F36" s="28"/>
      <c r="H36" s="28"/>
    </row>
    <row r="37" spans="6:8" x14ac:dyDescent="0.25">
      <c r="F37" s="28"/>
      <c r="H37" s="28"/>
    </row>
    <row r="39" spans="1:1" x14ac:dyDescent="0.25">
      <c r="A39" s="17"/>
    </row>
    <row r="40" spans="1:1" x14ac:dyDescent="0.25">
      <c r="A40" s="17"/>
    </row>
  </sheetData>
  <mergeCells count="5">
    <mergeCell ref="A1:J1"/>
    <mergeCell ref="A2:J2"/>
    <mergeCell ref="A14:J14"/>
    <mergeCell ref="A16:J16"/>
    <mergeCell ref="A17:J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12" customWidth="1"/>
    <col min="2" max="2" width="14" customWidth="1"/>
    <col min="3" max="3" width="110" customWidth="1"/>
  </cols>
  <sheetData>
    <row r="1" ht="24" customHeight="1" spans="1:3" x14ac:dyDescent="0.25">
      <c r="A1" s="30" t="s">
        <v>150</v>
      </c>
      <c r="B1" s="30"/>
      <c r="C1" s="30"/>
    </row>
    <row r="3" spans="1:3" x14ac:dyDescent="0.25">
      <c r="A3" s="31" t="s">
        <v>151</v>
      </c>
      <c r="B3" s="31" t="s">
        <v>10</v>
      </c>
      <c r="C3" s="31" t="s">
        <v>152</v>
      </c>
    </row>
    <row r="4" ht="90" customHeight="1" spans="1:3" x14ac:dyDescent="0.25">
      <c r="A4" s="17" t="s">
        <v>3</v>
      </c>
      <c r="B4" t="s">
        <v>11</v>
      </c>
      <c r="C4" s="32" t="s">
        <v>153</v>
      </c>
    </row>
    <row r="5" ht="120" customHeight="1" spans="1:3" x14ac:dyDescent="0.25">
      <c r="A5" s="17" t="s">
        <v>4</v>
      </c>
      <c r="B5" t="s">
        <v>12</v>
      </c>
      <c r="C5" s="32" t="s">
        <v>154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26" customWidth="1"/>
    <col min="2" max="2" width="28" customWidth="1"/>
    <col min="3" max="3" width="16" customWidth="1"/>
  </cols>
  <sheetData>
    <row r="1" ht="15.75" customHeight="1" spans="1:10" x14ac:dyDescent="0.25">
      <c r="A1" s="33" t="s">
        <v>155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32" t="s">
        <v>156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31" t="s">
        <v>97</v>
      </c>
      <c r="B3" s="31" t="s">
        <v>98</v>
      </c>
      <c r="C3" s="31" t="s">
        <v>99</v>
      </c>
      <c r="D3" s="31" t="s">
        <v>100</v>
      </c>
      <c r="E3" s="31" t="s">
        <v>101</v>
      </c>
      <c r="F3" s="31" t="s">
        <v>102</v>
      </c>
      <c r="G3" s="31" t="s">
        <v>103</v>
      </c>
      <c r="H3" s="31" t="s">
        <v>104</v>
      </c>
      <c r="I3" s="31" t="s">
        <v>105</v>
      </c>
      <c r="J3" s="31" t="s">
        <v>106</v>
      </c>
    </row>
    <row r="4" spans="1:10" x14ac:dyDescent="0.25">
      <c r="A4" t="s">
        <v>157</v>
      </c>
      <c r="B4" t="s">
        <v>6</v>
      </c>
      <c r="C4" t="s">
        <v>158</v>
      </c>
      <c r="D4">
        <v>89</v>
      </c>
      <c r="E4">
        <v>23</v>
      </c>
      <c r="F4" s="28">
        <v>0.25842696629213485</v>
      </c>
      <c r="G4">
        <v>1</v>
      </c>
      <c r="H4" s="28">
        <v>0.011235955056179775</v>
      </c>
      <c r="I4">
        <v>1</v>
      </c>
      <c r="J4" t="s">
        <v>6</v>
      </c>
    </row>
    <row r="5" spans="1:10" x14ac:dyDescent="0.25">
      <c r="A5" t="s">
        <v>159</v>
      </c>
      <c r="B5" t="s">
        <v>6</v>
      </c>
      <c r="C5" t="s">
        <v>160</v>
      </c>
      <c r="D5">
        <v>87</v>
      </c>
      <c r="E5">
        <v>21</v>
      </c>
      <c r="F5" s="28">
        <v>0.2413793103448276</v>
      </c>
      <c r="G5">
        <v>3</v>
      </c>
      <c r="H5" s="28">
        <v>0.034482758620689655</v>
      </c>
      <c r="I5">
        <v>1</v>
      </c>
      <c r="J5" t="s">
        <v>6</v>
      </c>
    </row>
    <row r="6" spans="1:10" x14ac:dyDescent="0.25">
      <c r="A6" t="s">
        <v>161</v>
      </c>
      <c r="B6" t="s">
        <v>6</v>
      </c>
      <c r="C6" t="s">
        <v>162</v>
      </c>
      <c r="D6">
        <v>87</v>
      </c>
      <c r="E6">
        <v>20</v>
      </c>
      <c r="F6" s="28">
        <v>0.22988505747126436</v>
      </c>
      <c r="G6">
        <v>3</v>
      </c>
      <c r="H6" s="28">
        <v>0.034482758620689655</v>
      </c>
      <c r="I6">
        <v>1</v>
      </c>
      <c r="J6" t="s">
        <v>6</v>
      </c>
    </row>
    <row r="7" spans="1:10" x14ac:dyDescent="0.25">
      <c r="A7" t="s">
        <v>163</v>
      </c>
      <c r="B7" t="s">
        <v>6</v>
      </c>
      <c r="C7" t="s">
        <v>164</v>
      </c>
      <c r="D7">
        <v>110</v>
      </c>
      <c r="E7">
        <v>27</v>
      </c>
      <c r="F7" s="28">
        <v>0.24545454545454545</v>
      </c>
      <c r="G7">
        <v>2</v>
      </c>
      <c r="H7" s="28">
        <v>0.01818181818181818</v>
      </c>
      <c r="I7">
        <v>6</v>
      </c>
      <c r="J7">
        <v>0</v>
      </c>
    </row>
    <row r="9" spans="1:9" x14ac:dyDescent="0.25">
      <c r="A9" s="17" t="s">
        <v>165</v>
      </c>
      <c r="I9">
        <v>9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Launch-Auswertung</vt:lpstr>
      <vt:lpstr>Sales-Mails</vt:lpstr>
      <vt:lpstr>Fazit</vt:lpstr>
      <vt:lpstr>Downsell-Mails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2026-08-28T09:24:10Z</dcterms:created>
  <dcterms:modified xsi:type="dcterms:W3CDTF">2026-10-25T20:05:32Z</dcterms:modified>
</cp:coreProperties>
</file>