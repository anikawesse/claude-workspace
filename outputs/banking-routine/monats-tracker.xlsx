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ats-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 &quot; €&quot;"/>
    <numFmt numFmtId="61" formatCode="0 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22.83203125" customWidth="1"/>
    <col min="2" max="2" width="13.83203125" customWidth="1"/>
    <col min="3" max="3" width="11.83203125" customWidth="1"/>
    <col min="4" max="4" width="10.83203125" customWidth="1"/>
    <col min="5" max="5" width="10.83203125" customWidth="1"/>
    <col min="6" max="6" width="11.83203125" customWidth="1"/>
    <col min="7" max="7" width="10.83203125" customWidth="1"/>
    <col min="8" max="8" width="13.83203125" customWidth="1"/>
    <col min="9" max="9" width="11.83203125" customWidth="1"/>
    <col min="10" max="10" width="11.83203125" customWidth="1"/>
    <col min="11" max="11" width="11.83203125" customWidth="1"/>
  </cols>
  <sheetData>
    <row r="1">
      <c r="A1" t="str">
        <v>Banking-Routine — Monats-Tracker</v>
      </c>
    </row>
    <row r="2">
      <c r="A2" t="str">
        <v>Trag pro Monat nur den Netto-Umsatz ein (Spalte B). Der Rest rechnet sich von selbst.</v>
      </c>
    </row>
    <row r="3">
      <c r="A3" t="str">
        <v>Netto-Umsatz = ALLE Quellen zusammen (ThriveCart/Digistore + PayPal + Stripe), ohne USt. USt ist durchlaufend und läuft separat über dein Steuer-Konto.</v>
      </c>
    </row>
    <row r="5">
      <c r="A5" t="str">
        <v>EINSTELLUNGEN (hier anpassen)</v>
      </c>
    </row>
    <row r="6">
      <c r="A6" t="str">
        <v>Gehalt (Privatentnahme)</v>
      </c>
      <c r="B6" s="1">
        <v>3000</v>
      </c>
    </row>
    <row r="7">
      <c r="A7" t="str">
        <v>Business-Fixkosten / Monat</v>
      </c>
      <c r="B7" s="1">
        <v>3670</v>
      </c>
    </row>
    <row r="8">
      <c r="A8" t="str">
        <v>Hof-Kosten / Monat</v>
      </c>
      <c r="B8" s="1">
        <v>2565</v>
      </c>
    </row>
    <row r="9">
      <c r="A9" t="str">
        <v>Steuer-Rücklage (auf Gewinn)</v>
      </c>
      <c r="B9" s="2">
        <v>0.3</v>
      </c>
      <c r="C9" t="str">
        <v>← Einkommensteuer, genauen Satz mit Steuerberater klären</v>
      </c>
    </row>
    <row r="10">
      <c r="A10" t="str">
        <v>Aufteilung Überschuss:</v>
      </c>
    </row>
    <row r="11">
      <c r="A11" t="str">
        <v xml:space="preserve">   Schulden</v>
      </c>
      <c r="B11" s="2">
        <v>0.4</v>
      </c>
    </row>
    <row r="12">
      <c r="A12" t="str">
        <v xml:space="preserve">   Goldene Gans</v>
      </c>
      <c r="B12" s="2">
        <v>0.4</v>
      </c>
    </row>
    <row r="13">
      <c r="A13" t="str">
        <v xml:space="preserve">   Träume</v>
      </c>
      <c r="B13" s="2">
        <v>0.2</v>
      </c>
    </row>
    <row r="15">
      <c r="A15" t="str">
        <v>Monat</v>
      </c>
      <c r="B15" t="str">
        <v>Umsatz netto</v>
      </c>
      <c r="C15" t="str">
        <v>− Business</v>
      </c>
      <c r="D15" t="str">
        <v>− Hof</v>
      </c>
      <c r="E15" t="str">
        <v>− Gehalt</v>
      </c>
      <c r="F15" t="str">
        <v>= Gewinn</v>
      </c>
      <c r="G15" t="str">
        <v>− Steuer</v>
      </c>
      <c r="H15" t="str">
        <v>= Überschuss</v>
      </c>
      <c r="I15" t="str">
        <v>Schulden</v>
      </c>
      <c r="J15" t="str">
        <v>Gans</v>
      </c>
      <c r="K15" t="str">
        <v>Träume</v>
      </c>
    </row>
    <row r="16">
      <c r="A16" t="str">
        <v>Januar</v>
      </c>
      <c r="C16" s="1" t="str">
        <f>IF($B16="","",$B$7)</f>
        <v/>
      </c>
      <c r="D16" s="1" t="str">
        <f>IF($B16="","",$B$8)</f>
        <v/>
      </c>
      <c r="E16" s="1" t="str">
        <f>IF($B16="","",$B$6)</f>
        <v/>
      </c>
      <c r="F16" s="1" t="str">
        <f>IF($B16="","",B16-C16-D16-E16)</f>
        <v/>
      </c>
      <c r="G16" s="1" t="str">
        <f>IF($B16="","",MAX(F16,0)*$B$9)</f>
        <v/>
      </c>
      <c r="H16" s="1" t="str">
        <f>IF($B16="","",F16-G16)</f>
        <v/>
      </c>
      <c r="I16" s="1" t="str">
        <f>IF($B16="","",MAX(H16,0)*$B$11)</f>
        <v/>
      </c>
      <c r="J16" s="1" t="str">
        <f>IF($B16="","",MAX(H16,0)*$B$12)</f>
        <v/>
      </c>
      <c r="K16" s="1" t="str">
        <f>IF($B16="","",MAX(H16,0)*$B$13)</f>
        <v/>
      </c>
    </row>
    <row r="17">
      <c r="A17" t="str">
        <v>Februar</v>
      </c>
      <c r="C17" s="1" t="str">
        <f>IF($B17="","",$B$7)</f>
        <v/>
      </c>
      <c r="D17" s="1" t="str">
        <f>IF($B17="","",$B$8)</f>
        <v/>
      </c>
      <c r="E17" s="1" t="str">
        <f>IF($B17="","",$B$6)</f>
        <v/>
      </c>
      <c r="F17" s="1" t="str">
        <f>IF($B17="","",B17-C17-D17-E17)</f>
        <v/>
      </c>
      <c r="G17" s="1" t="str">
        <f>IF($B17="","",MAX(F17,0)*$B$9)</f>
        <v/>
      </c>
      <c r="H17" s="1" t="str">
        <f>IF($B17="","",F17-G17)</f>
        <v/>
      </c>
      <c r="I17" s="1" t="str">
        <f>IF($B17="","",MAX(H17,0)*$B$11)</f>
        <v/>
      </c>
      <c r="J17" s="1" t="str">
        <f>IF($B17="","",MAX(H17,0)*$B$12)</f>
        <v/>
      </c>
      <c r="K17" s="1" t="str">
        <f>IF($B17="","",MAX(H17,0)*$B$13)</f>
        <v/>
      </c>
    </row>
    <row r="18">
      <c r="A18" t="str">
        <v>März</v>
      </c>
      <c r="C18" s="1" t="str">
        <f>IF($B18="","",$B$7)</f>
        <v/>
      </c>
      <c r="D18" s="1" t="str">
        <f>IF($B18="","",$B$8)</f>
        <v/>
      </c>
      <c r="E18" s="1" t="str">
        <f>IF($B18="","",$B$6)</f>
        <v/>
      </c>
      <c r="F18" s="1" t="str">
        <f>IF($B18="","",B18-C18-D18-E18)</f>
        <v/>
      </c>
      <c r="G18" s="1" t="str">
        <f>IF($B18="","",MAX(F18,0)*$B$9)</f>
        <v/>
      </c>
      <c r="H18" s="1" t="str">
        <f>IF($B18="","",F18-G18)</f>
        <v/>
      </c>
      <c r="I18" s="1" t="str">
        <f>IF($B18="","",MAX(H18,0)*$B$11)</f>
        <v/>
      </c>
      <c r="J18" s="1" t="str">
        <f>IF($B18="","",MAX(H18,0)*$B$12)</f>
        <v/>
      </c>
      <c r="K18" s="1" t="str">
        <f>IF($B18="","",MAX(H18,0)*$B$13)</f>
        <v/>
      </c>
    </row>
    <row r="19">
      <c r="A19" t="str">
        <v>April</v>
      </c>
      <c r="C19" s="1" t="str">
        <f>IF($B19="","",$B$7)</f>
        <v/>
      </c>
      <c r="D19" s="1" t="str">
        <f>IF($B19="","",$B$8)</f>
        <v/>
      </c>
      <c r="E19" s="1" t="str">
        <f>IF($B19="","",$B$6)</f>
        <v/>
      </c>
      <c r="F19" s="1" t="str">
        <f>IF($B19="","",B19-C19-D19-E19)</f>
        <v/>
      </c>
      <c r="G19" s="1" t="str">
        <f>IF($B19="","",MAX(F19,0)*$B$9)</f>
        <v/>
      </c>
      <c r="H19" s="1" t="str">
        <f>IF($B19="","",F19-G19)</f>
        <v/>
      </c>
      <c r="I19" s="1" t="str">
        <f>IF($B19="","",MAX(H19,0)*$B$11)</f>
        <v/>
      </c>
      <c r="J19" s="1" t="str">
        <f>IF($B19="","",MAX(H19,0)*$B$12)</f>
        <v/>
      </c>
      <c r="K19" s="1" t="str">
        <f>IF($B19="","",MAX(H19,0)*$B$13)</f>
        <v/>
      </c>
    </row>
    <row r="20">
      <c r="A20" t="str">
        <v>Mai</v>
      </c>
      <c r="C20" s="1" t="str">
        <f>IF($B20="","",$B$7)</f>
        <v/>
      </c>
      <c r="D20" s="1" t="str">
        <f>IF($B20="","",$B$8)</f>
        <v/>
      </c>
      <c r="E20" s="1" t="str">
        <f>IF($B20="","",$B$6)</f>
        <v/>
      </c>
      <c r="F20" s="1" t="str">
        <f>IF($B20="","",B20-C20-D20-E20)</f>
        <v/>
      </c>
      <c r="G20" s="1" t="str">
        <f>IF($B20="","",MAX(F20,0)*$B$9)</f>
        <v/>
      </c>
      <c r="H20" s="1" t="str">
        <f>IF($B20="","",F20-G20)</f>
        <v/>
      </c>
      <c r="I20" s="1" t="str">
        <f>IF($B20="","",MAX(H20,0)*$B$11)</f>
        <v/>
      </c>
      <c r="J20" s="1" t="str">
        <f>IF($B20="","",MAX(H20,0)*$B$12)</f>
        <v/>
      </c>
      <c r="K20" s="1" t="str">
        <f>IF($B20="","",MAX(H20,0)*$B$13)</f>
        <v/>
      </c>
    </row>
    <row r="21">
      <c r="A21" t="str">
        <v>Juni</v>
      </c>
      <c r="C21" s="1" t="str">
        <f>IF($B21="","",$B$7)</f>
        <v/>
      </c>
      <c r="D21" s="1" t="str">
        <f>IF($B21="","",$B$8)</f>
        <v/>
      </c>
      <c r="E21" s="1" t="str">
        <f>IF($B21="","",$B$6)</f>
        <v/>
      </c>
      <c r="F21" s="1" t="str">
        <f>IF($B21="","",B21-C21-D21-E21)</f>
        <v/>
      </c>
      <c r="G21" s="1" t="str">
        <f>IF($B21="","",MAX(F21,0)*$B$9)</f>
        <v/>
      </c>
      <c r="H21" s="1" t="str">
        <f>IF($B21="","",F21-G21)</f>
        <v/>
      </c>
      <c r="I21" s="1" t="str">
        <f>IF($B21="","",MAX(H21,0)*$B$11)</f>
        <v/>
      </c>
      <c r="J21" s="1" t="str">
        <f>IF($B21="","",MAX(H21,0)*$B$12)</f>
        <v/>
      </c>
      <c r="K21" s="1" t="str">
        <f>IF($B21="","",MAX(H21,0)*$B$13)</f>
        <v/>
      </c>
    </row>
    <row r="22">
      <c r="A22" t="str">
        <v>Juli</v>
      </c>
      <c r="C22" s="1" t="str">
        <f>IF($B22="","",$B$7)</f>
        <v/>
      </c>
      <c r="D22" s="1" t="str">
        <f>IF($B22="","",$B$8)</f>
        <v/>
      </c>
      <c r="E22" s="1" t="str">
        <f>IF($B22="","",$B$6)</f>
        <v/>
      </c>
      <c r="F22" s="1" t="str">
        <f>IF($B22="","",B22-C22-D22-E22)</f>
        <v/>
      </c>
      <c r="G22" s="1" t="str">
        <f>IF($B22="","",MAX(F22,0)*$B$9)</f>
        <v/>
      </c>
      <c r="H22" s="1" t="str">
        <f>IF($B22="","",F22-G22)</f>
        <v/>
      </c>
      <c r="I22" s="1" t="str">
        <f>IF($B22="","",MAX(H22,0)*$B$11)</f>
        <v/>
      </c>
      <c r="J22" s="1" t="str">
        <f>IF($B22="","",MAX(H22,0)*$B$12)</f>
        <v/>
      </c>
      <c r="K22" s="1" t="str">
        <f>IF($B22="","",MAX(H22,0)*$B$13)</f>
        <v/>
      </c>
    </row>
    <row r="23">
      <c r="A23" t="str">
        <v>August</v>
      </c>
      <c r="C23" s="1" t="str">
        <f>IF($B23="","",$B$7)</f>
        <v/>
      </c>
      <c r="D23" s="1" t="str">
        <f>IF($B23="","",$B$8)</f>
        <v/>
      </c>
      <c r="E23" s="1" t="str">
        <f>IF($B23="","",$B$6)</f>
        <v/>
      </c>
      <c r="F23" s="1" t="str">
        <f>IF($B23="","",B23-C23-D23-E23)</f>
        <v/>
      </c>
      <c r="G23" s="1" t="str">
        <f>IF($B23="","",MAX(F23,0)*$B$9)</f>
        <v/>
      </c>
      <c r="H23" s="1" t="str">
        <f>IF($B23="","",F23-G23)</f>
        <v/>
      </c>
      <c r="I23" s="1" t="str">
        <f>IF($B23="","",MAX(H23,0)*$B$11)</f>
        <v/>
      </c>
      <c r="J23" s="1" t="str">
        <f>IF($B23="","",MAX(H23,0)*$B$12)</f>
        <v/>
      </c>
      <c r="K23" s="1" t="str">
        <f>IF($B23="","",MAX(H23,0)*$B$13)</f>
        <v/>
      </c>
    </row>
    <row r="24">
      <c r="A24" t="str">
        <v>September</v>
      </c>
      <c r="C24" s="1" t="str">
        <f>IF($B24="","",$B$7)</f>
        <v/>
      </c>
      <c r="D24" s="1" t="str">
        <f>IF($B24="","",$B$8)</f>
        <v/>
      </c>
      <c r="E24" s="1" t="str">
        <f>IF($B24="","",$B$6)</f>
        <v/>
      </c>
      <c r="F24" s="1" t="str">
        <f>IF($B24="","",B24-C24-D24-E24)</f>
        <v/>
      </c>
      <c r="G24" s="1" t="str">
        <f>IF($B24="","",MAX(F24,0)*$B$9)</f>
        <v/>
      </c>
      <c r="H24" s="1" t="str">
        <f>IF($B24="","",F24-G24)</f>
        <v/>
      </c>
      <c r="I24" s="1" t="str">
        <f>IF($B24="","",MAX(H24,0)*$B$11)</f>
        <v/>
      </c>
      <c r="J24" s="1" t="str">
        <f>IF($B24="","",MAX(H24,0)*$B$12)</f>
        <v/>
      </c>
      <c r="K24" s="1" t="str">
        <f>IF($B24="","",MAX(H24,0)*$B$13)</f>
        <v/>
      </c>
    </row>
    <row r="25">
      <c r="A25" t="str">
        <v>Oktober</v>
      </c>
      <c r="C25" s="1" t="str">
        <f>IF($B25="","",$B$7)</f>
        <v/>
      </c>
      <c r="D25" s="1" t="str">
        <f>IF($B25="","",$B$8)</f>
        <v/>
      </c>
      <c r="E25" s="1" t="str">
        <f>IF($B25="","",$B$6)</f>
        <v/>
      </c>
      <c r="F25" s="1" t="str">
        <f>IF($B25="","",B25-C25-D25-E25)</f>
        <v/>
      </c>
      <c r="G25" s="1" t="str">
        <f>IF($B25="","",MAX(F25,0)*$B$9)</f>
        <v/>
      </c>
      <c r="H25" s="1" t="str">
        <f>IF($B25="","",F25-G25)</f>
        <v/>
      </c>
      <c r="I25" s="1" t="str">
        <f>IF($B25="","",MAX(H25,0)*$B$11)</f>
        <v/>
      </c>
      <c r="J25" s="1" t="str">
        <f>IF($B25="","",MAX(H25,0)*$B$12)</f>
        <v/>
      </c>
      <c r="K25" s="1" t="str">
        <f>IF($B25="","",MAX(H25,0)*$B$13)</f>
        <v/>
      </c>
    </row>
    <row r="26">
      <c r="A26" t="str">
        <v>November</v>
      </c>
      <c r="C26" s="1" t="str">
        <f>IF($B26="","",$B$7)</f>
        <v/>
      </c>
      <c r="D26" s="1" t="str">
        <f>IF($B26="","",$B$8)</f>
        <v/>
      </c>
      <c r="E26" s="1" t="str">
        <f>IF($B26="","",$B$6)</f>
        <v/>
      </c>
      <c r="F26" s="1" t="str">
        <f>IF($B26="","",B26-C26-D26-E26)</f>
        <v/>
      </c>
      <c r="G26" s="1" t="str">
        <f>IF($B26="","",MAX(F26,0)*$B$9)</f>
        <v/>
      </c>
      <c r="H26" s="1" t="str">
        <f>IF($B26="","",F26-G26)</f>
        <v/>
      </c>
      <c r="I26" s="1" t="str">
        <f>IF($B26="","",MAX(H26,0)*$B$11)</f>
        <v/>
      </c>
      <c r="J26" s="1" t="str">
        <f>IF($B26="","",MAX(H26,0)*$B$12)</f>
        <v/>
      </c>
      <c r="K26" s="1" t="str">
        <f>IF($B26="","",MAX(H26,0)*$B$13)</f>
        <v/>
      </c>
    </row>
    <row r="27">
      <c r="A27" t="str">
        <v>Dezember</v>
      </c>
      <c r="C27" s="1" t="str">
        <f>IF($B27="","",$B$7)</f>
        <v/>
      </c>
      <c r="D27" s="1" t="str">
        <f>IF($B27="","",$B$8)</f>
        <v/>
      </c>
      <c r="E27" s="1" t="str">
        <f>IF($B27="","",$B$6)</f>
        <v/>
      </c>
      <c r="F27" s="1" t="str">
        <f>IF($B27="","",B27-C27-D27-E27)</f>
        <v/>
      </c>
      <c r="G27" s="1" t="str">
        <f>IF($B27="","",MAX(F27,0)*$B$9)</f>
        <v/>
      </c>
      <c r="H27" s="1" t="str">
        <f>IF($B27="","",F27-G27)</f>
        <v/>
      </c>
      <c r="I27" s="1" t="str">
        <f>IF($B27="","",MAX(H27,0)*$B$11)</f>
        <v/>
      </c>
      <c r="J27" s="1" t="str">
        <f>IF($B27="","",MAX(H27,0)*$B$12)</f>
        <v/>
      </c>
      <c r="K27" s="1" t="str">
        <f>IF($B27="","",MAX(H27,0)*$B$13)</f>
        <v/>
      </c>
    </row>
    <row r="29">
      <c r="A29" t="str">
        <v>BEISPIEL (12.000 € netto)</v>
      </c>
      <c r="B29" s="1">
        <v>12000</v>
      </c>
      <c r="C29" s="1">
        <f>IF($B29="","",$B$7)</f>
        <v>3670</v>
      </c>
      <c r="D29" s="1">
        <f>IF($B29="","",$B$8)</f>
        <v>2565</v>
      </c>
      <c r="E29" s="1">
        <f>IF($B29="","",$B$6)</f>
        <v>3000</v>
      </c>
      <c r="F29" s="1">
        <f>IF($B29="","",B29-C29-D29-E29)</f>
        <v>2765</v>
      </c>
      <c r="G29" s="1">
        <f>IF($B29="","",MAX(F29,0)*$B$9)</f>
        <v>829.5</v>
      </c>
      <c r="H29" s="1">
        <f>IF($B29="","",F29-G29)</f>
        <v>1935.5</v>
      </c>
      <c r="I29" s="1">
        <f>IF($B29="","",MAX(H29,0)*$B$11)</f>
        <v>774.2</v>
      </c>
      <c r="J29" s="1">
        <f>IF($B29="","",MAX(H29,0)*$B$12)</f>
        <v>774.2</v>
      </c>
      <c r="K29" s="1">
        <f>IF($B29="","",MAX(H29,0)*$B$13)</f>
        <v>387.1</v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Monats-Tracker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